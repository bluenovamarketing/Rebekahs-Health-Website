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57e16aeada4683" /></Relationships>
</file>

<file path=xl/workbook.xml><?xml version="1.0" encoding="utf-8"?>
<x:workbook xmlns:x="http://schemas.openxmlformats.org/spreadsheetml/2006/main">
  <x:sheets>
    <x:sheet xmlns:r="http://schemas.openxmlformats.org/officeDocument/2006/relationships" name="Approval Set" sheetId="1" r:id="R5c6d75c39a794386"/>
    <x:sheet xmlns:r="http://schemas.openxmlformats.org/officeDocument/2006/relationships" name="Templates &amp; Global" sheetId="2" r:id="R3a4529c91f1944b5"/>
    <x:sheet xmlns:r="http://schemas.openxmlformats.org/officeDocument/2006/relationships" name="Product &amp; Content" sheetId="3" r:id="R35bf7142d8934b43"/>
    <x:sheet xmlns:r="http://schemas.openxmlformats.org/officeDocument/2006/relationships" name="Decisions &amp; Access" sheetId="4" r:id="R8fc8e98234684a53"/>
    <x:sheet xmlns:r="http://schemas.openxmlformats.org/officeDocument/2006/relationships" name="Implementation Plan" sheetId="5" r:id="Re92f0150b0c84bc4"/>
    <x:sheet xmlns:r="http://schemas.openxmlformats.org/officeDocument/2006/relationships" name="QA &amp; Launch Gates" sheetId="6" r:id="Rb644898d6f904b8a"/>
    <x:sheet xmlns:r="http://schemas.openxmlformats.org/officeDocument/2006/relationships" name="Scope &amp; Costs" sheetId="7" r:id="Rd940e3ba00864c2b"/>
    <x:sheet xmlns:r="http://schemas.openxmlformats.org/officeDocument/2006/relationships" name="Version Register" sheetId="8" r:id="Rfdc6f91174ce4ef8"/>
    <x:sheet xmlns:r="http://schemas.openxmlformats.org/officeDocument/2006/relationships" name="Training &amp; Handoff" sheetId="9" r:id="R6dc212dfa5d24ff8"/>
    <x:sheet xmlns:r="http://schemas.openxmlformats.org/officeDocument/2006/relationships" name="Pre-Staging Packet" sheetId="10" r:id="R8b7a442aa9e84ddc"/>
  </x:sheets>
</x:workbook>
</file>

<file path=xl/sharedStrings.xml><?xml version="1.0" encoding="utf-8"?>
<x:sst xmlns:x="http://schemas.openxmlformats.org/spreadsheetml/2006/main"/>
</file>

<file path=xl/styles.xml><?xml version="1.0" encoding="utf-8"?>
<x:styleSheet xmlns:x="http://schemas.openxmlformats.org/spreadsheetml/2006/main">
  <x:fonts count="22">
    <x:font>
      <x:sz val="11"/>
      <x:name val="Carlito"/>
    </x:font>
    <x:font>
      <x:b/>
      <x:sz val="16"/>
      <x:color rgb="FFFFFFFF"/>
      <x:name val="Carlito"/>
    </x:font>
    <x:font>
      <x:i/>
      <x:sz val="11"/>
      <x:color rgb="FF33413A"/>
      <x:name val="Carlito"/>
    </x:font>
    <x:font>
      <x:b/>
      <x:sz val="10"/>
      <x:color rgb="FF195C3B"/>
      <x:name val="Carlito"/>
    </x:font>
    <x:font>
      <x:b/>
      <x:sz val="11"/>
      <x:color rgb="FF111827"/>
      <x:name val="Carlito"/>
    </x:font>
    <x:font>
      <x:b/>
      <x:sz val="10"/>
      <x:color rgb="FF111827"/>
      <x:name val="Carlito"/>
    </x:font>
    <x:font>
      <x:sz val="10"/>
      <x:color rgb="FF111827"/>
      <x:name val="Carlito"/>
    </x:font>
    <x:font>
      <x:b/>
      <x:sz val="10"/>
      <x:color rgb="FF166534"/>
      <x:name val="Carlito"/>
    </x:font>
    <x:font>
      <x:b/>
      <x:sz val="10"/>
      <x:color rgb="FF92400E"/>
      <x:name val="Carlito"/>
    </x:font>
    <x:font>
      <x:b/>
      <x:sz val="10"/>
      <x:color rgb="FF1D4ED8"/>
      <x:name val="Carlito"/>
    </x:font>
    <x:font>
      <x:b/>
      <x:sz val="11"/>
      <x:color rgb="FFFFFFFF"/>
      <x:name val="Carlito"/>
    </x:font>
    <x:font>
      <x:i/>
      <x:sz val="11"/>
      <x:color rgb="FF52645C"/>
      <x:name val="Carlito"/>
    </x:font>
    <x:font>
      <x:b/>
      <x:sz val="11"/>
      <x:color rgb="FF195C3B"/>
      <x:name val="Carlito"/>
    </x:font>
    <x:font>
      <x:sz val="11"/>
      <x:color rgb="FF111827"/>
      <x:name val="Carlito"/>
    </x:font>
    <x:font>
      <x:sz val="11"/>
      <x:color rgb="FF52645C"/>
      <x:name val="Carlito"/>
    </x:font>
    <x:font>
      <x:b/>
      <x:sz val="18"/>
      <x:color rgb="FFFFFFFF"/>
      <x:name val="Carlito"/>
    </x:font>
    <x:font>
      <x:i/>
      <x:sz val="10"/>
      <x:color rgb="FF425C50"/>
      <x:name val="Carlito"/>
    </x:font>
    <x:font>
      <x:b/>
      <x:sz val="11"/>
      <x:color rgb="FF155E3B"/>
      <x:name val="Carlito"/>
    </x:font>
    <x:font>
      <x:b/>
      <x:sz val="11"/>
      <x:color rgb="FF173F35"/>
      <x:name val="Carlito"/>
    </x:font>
    <x:font>
      <x:sz val="10"/>
      <x:color rgb="FF23463A"/>
      <x:name val="Carlito"/>
    </x:font>
    <x:font>
      <x:b/>
      <x:sz val="10"/>
      <x:color rgb="FF6B501C"/>
      <x:name val="Carlito"/>
    </x:font>
    <x:font>
      <x:b/>
      <x:sz val="11"/>
      <x:color rgb="FF6B501C"/>
      <x:name val="Carlito"/>
    </x:font>
  </x:fonts>
  <x:fills count="30">
    <x:fill>
      <x:patternFill patternType="none"/>
    </x:fill>
    <x:fill>
      <x:patternFill patternType="gray125"/>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DCFCE7"/>
      </x:patternFill>
    </x:fill>
    <x:fill>
      <x:patternFill patternType="solid">
        <x:fgColor rgb="FFFEF3C7"/>
      </x:patternFill>
    </x:fill>
    <x:fill>
      <x:patternFill patternType="solid">
        <x:fgColor rgb="FFDBEAFE"/>
      </x:patternFill>
    </x:fill>
    <x:fill>
      <x:patternFill patternType="solid">
        <x:fgColor rgb="FFDBEAFE"/>
      </x:patternFill>
    </x:fill>
    <x:fill>
      <x:patternFill patternType="solid">
        <x:fgColor rgb="FFDCFCE7"/>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BFE6F4"/>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FFFFFF"/>
      </x:patternFill>
    </x:fill>
    <x:fill>
      <x:patternFill patternType="solid">
        <x:fgColor rgb="FFDCFCE7"/>
      </x:patternFill>
    </x:fill>
    <x:fill>
      <x:patternFill patternType="solid">
        <x:fgColor rgb="FF155E3B"/>
      </x:patternFill>
    </x:fill>
    <x:fill>
      <x:patternFill patternType="solid">
        <x:fgColor rgb="FFEFF5E9"/>
      </x:patternFill>
    </x:fill>
    <x:fill>
      <x:patternFill patternType="solid">
        <x:fgColor rgb="FFDDE4E8"/>
      </x:patternFill>
    </x:fill>
    <x:fill>
      <x:patternFill patternType="solid">
        <x:fgColor rgb="FFC5E9F6"/>
      </x:patternFill>
    </x:fill>
    <x:fill>
      <x:patternFill patternType="solid">
        <x:fgColor rgb="FFD9EFD9"/>
      </x:patternFill>
    </x:fill>
    <x:fill>
      <x:patternFill patternType="solid">
        <x:fgColor rgb="FFF6E8B1"/>
      </x:patternFill>
    </x:fill>
    <x:fill>
      <x:patternFill patternType="solid">
        <x:fgColor rgb="FFD9EFD9"/>
      </x:patternFill>
    </x:fill>
    <x:fill>
      <x:patternFill patternType="solid">
        <x:fgColor rgb="FFF6E8B1"/>
      </x:patternFill>
    </x:fill>
  </x:fills>
  <x:borders count="7">
    <x:border/>
    <x:border>
      <x:bottom style="thin">
        <x:color rgb="FF6DC5EA"/>
      </x:bottom>
    </x:border>
    <x:border>
      <x:top style="thin">
        <x:color rgb="FF6DC5EA"/>
      </x:top>
      <x:bottom style="thin">
        <x:color rgb="FF6DC5EA"/>
      </x:bottom>
    </x:border>
    <x:border>
      <x:bottom style="medium">
        <x:color rgb="FF8AA79A"/>
      </x:bottom>
    </x:border>
    <x:border>
      <x:bottom style="thin">
        <x:color rgb="FFD5E0DB"/>
      </x:bottom>
    </x:border>
    <x:border>
      <x:top style="thin">
        <x:color rgb="FFD5E0DB"/>
      </x:top>
      <x:bottom style="thin">
        <x:color rgb="FFD5E0DB"/>
      </x:bottom>
    </x:border>
    <x:border>
      <x:top style="thin">
        <x:color rgb="FFD5E0DB"/>
      </x:top>
    </x:border>
  </x:borders>
  <x:cellStyleXfs count="1">
    <x:xf numFmtId="0" fontId="0" fillId="0" borderId="0"/>
  </x:cellStyleXfs>
  <x:cellXfs count="1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1" fillId="12" borderId="0" xfId="0" applyNumberFormat="1" applyFont="1" applyFill="1" applyBorder="1" applyAlignment="1">
      <x:alignment vertical="center" wrapText="1"/>
    </x:xf>
    <x:xf numFmtId="0" fontId="12"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12" fillId="12" borderId="0" xfId="0" applyNumberFormat="1" applyFont="1" applyFill="1" applyBorder="1" applyAlignment="1">
      <x:alignment horizontal="center"/>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13" fillId="15" borderId="0" xfId="0" applyNumberFormat="1" applyFont="1" applyFill="1" applyBorder="1" applyAlignment="1">
      <x:alignment vertical="top" wrapText="1"/>
    </x:xf>
    <x:xf numFmtId="0" fontId="13" fillId="13" borderId="0" xfId="0" applyNumberFormat="1" applyFont="1" applyFill="1" applyBorder="1" applyAlignment="1">
      <x:alignment vertical="top" wrapText="1"/>
    </x:xf>
    <x:xf numFmtId="0" fontId="4" fillId="14" borderId="1" xfId="0" applyNumberFormat="1" applyFont="1" applyFill="1" applyBorder="1" applyAlignment="1">
      <x:alignment vertical="center"/>
    </x:xf>
    <x:xf numFmtId="0" fontId="13" fillId="15" borderId="2" xfId="0" applyNumberFormat="1" applyFont="1" applyFill="1" applyBorder="1" applyAlignment="1">
      <x:alignment vertical="top" wrapText="1"/>
    </x:xf>
    <x:xf numFmtId="0" fontId="13" fillId="13" borderId="2" xfId="0" applyNumberFormat="1" applyFont="1" applyFill="1" applyBorder="1" applyAlignment="1">
      <x:alignment vertical="top" wrapText="1"/>
    </x:xf>
    <x:xf numFmtId="0" fontId="13" fillId="15" borderId="2" xfId="0" applyNumberFormat="1" applyFont="1" applyFill="1" applyBorder="1" applyAlignment="1">
      <x:alignment horizontal="center" vertical="top" wrapText="1"/>
    </x:xf>
    <x:xf numFmtId="0" fontId="13" fillId="13" borderId="2" xfId="0" applyNumberFormat="1" applyFont="1" applyFill="1" applyBorder="1" applyAlignment="1">
      <x:alignment horizontal="center" vertical="top" wrapText="1"/>
    </x:xf>
    <x:xf numFmtId="0" fontId="14" fillId="12" borderId="0" xfId="0" applyNumberFormat="1" applyFont="1" applyFill="1" applyBorder="1"/>
    <x:xf numFmtId="0" fontId="14" fillId="12" borderId="0" xfId="0" applyNumberFormat="1" applyFont="1" applyFill="1" applyBorder="1" applyAlignment="1">
      <x:alignment wrapText="1"/>
    </x:xf>
    <x:xf numFmtId="0" fontId="14" fillId="12"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center" wrapText="1"/>
    </x:xf>
    <x:xf numFmtId="0" fontId="3" fillId="17" borderId="0" xfId="0" applyNumberFormat="1" applyFont="1" applyFill="1" applyBorder="1"/>
    <x:xf numFmtId="0" fontId="3" fillId="17" borderId="0" xfId="0" applyNumberFormat="1" applyFont="1" applyFill="1" applyBorder="1" applyAlignment="1">
      <x:alignment vertical="center"/>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4" fillId="18" borderId="0" xfId="0" applyNumberFormat="1" applyFont="1" applyFill="1" applyBorder="1" applyAlignment="1">
      <x:alignment horizontal="center" vertical="center"/>
    </x:xf>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6" fillId="20" borderId="0" xfId="0" applyNumberFormat="1" applyFont="1" applyFill="1" applyBorder="1"/>
    <x:xf numFmtId="0" fontId="6" fillId="20" borderId="2" xfId="0" applyNumberFormat="1" applyFont="1" applyFill="1" applyBorder="1"/>
    <x:xf numFmtId="0" fontId="6" fillId="20" borderId="2" xfId="0" applyNumberFormat="1" applyFont="1" applyFill="1" applyBorder="1" applyAlignment="1">
      <x:alignment wrapText="1"/>
    </x:xf>
    <x:xf numFmtId="0" fontId="6" fillId="20" borderId="2" xfId="0" applyNumberFormat="1" applyFont="1" applyFill="1" applyBorder="1" applyAlignment="1">
      <x:alignment vertical="top" wrapText="1"/>
    </x:xf>
    <x:xf numFmtId="0" fontId="6" fillId="21" borderId="0" xfId="0" applyNumberFormat="1" applyFont="1" applyFill="1" applyBorder="1" applyAlignment="1">
      <x:alignment vertical="top" wrapText="1"/>
    </x:xf>
    <x:xf numFmtId="0" fontId="7" fillId="21" borderId="0" xfId="0" applyNumberFormat="1" applyFont="1" applyFill="1" applyBorder="1" applyAlignment="1">
      <x:alignment vertical="top" wrapText="1"/>
    </x:xf>
    <x:xf numFmtId="0" fontId="13" fillId="4" borderId="2" xfId="0" applyNumberFormat="1" applyFont="1" applyFill="1" applyBorder="1" applyAlignment="1">
      <x:alignment horizontal="center" vertical="top" wrapText="1"/>
    </x:xf>
    <x:xf numFmtId="0" fontId="13" fillId="4" borderId="2" xfId="0" applyNumberFormat="1" applyFont="1" applyFill="1" applyBorder="1" applyAlignment="1">
      <x:alignment vertical="top" wrapText="1"/>
    </x:xf>
    <x:xf numFmtId="0" fontId="0" fillId="22" borderId="0" xfId="0" applyNumberFormat="1" applyFont="1" applyFill="1" applyBorder="1"/>
    <x:xf numFmtId="0" fontId="15" fillId="22" borderId="0" xfId="0" applyNumberFormat="1" applyFont="1" applyFill="1" applyBorder="1"/>
    <x:xf numFmtId="0" fontId="15" fillId="22" borderId="0" xfId="0" applyNumberFormat="1" applyFont="1" applyFill="1" applyBorder="1" applyAlignment="1">
      <x:alignment vertical="center"/>
    </x:xf>
    <x:xf numFmtId="0" fontId="0" fillId="23" borderId="0" xfId="0" applyNumberFormat="1" applyFont="1" applyFill="1" applyBorder="1"/>
    <x:xf numFmtId="0" fontId="16" fillId="23" borderId="0" xfId="0" applyNumberFormat="1" applyFont="1" applyFill="1" applyBorder="1"/>
    <x:xf numFmtId="0" fontId="16" fillId="23" borderId="0" xfId="0" applyNumberFormat="1" applyFont="1" applyFill="1" applyBorder="1" applyAlignment="1">
      <x:alignment wrapText="1"/>
    </x:xf>
    <x:xf numFmtId="0" fontId="16" fillId="23" borderId="0" xfId="0" applyNumberFormat="1" applyFont="1" applyFill="1" applyBorder="1" applyAlignment="1">
      <x:alignment vertical="center" wrapText="1"/>
    </x:xf>
    <x:xf numFmtId="0" fontId="17" fillId="23" borderId="0" xfId="0" applyNumberFormat="1" applyFont="1" applyFill="1" applyBorder="1"/>
    <x:xf numFmtId="0" fontId="17" fillId="23" borderId="0" xfId="0" applyNumberFormat="1" applyFont="1" applyFill="1" applyBorder="1" applyAlignment="1">
      <x:alignment vertical="center"/>
    </x:xf>
    <x:xf numFmtId="0" fontId="0" fillId="24" borderId="0" xfId="0" applyNumberFormat="1" applyFont="1" applyFill="1" applyBorder="1"/>
    <x:xf numFmtId="0" fontId="18" fillId="24" borderId="0" xfId="0" applyNumberFormat="1" applyFont="1" applyFill="1" applyBorder="1"/>
    <x:xf numFmtId="0" fontId="18" fillId="24" borderId="3" xfId="0" applyNumberFormat="1" applyFont="1" applyFill="1" applyBorder="1"/>
    <x:xf numFmtId="0" fontId="18" fillId="24" borderId="3" xfId="0" applyNumberFormat="1" applyFont="1" applyFill="1" applyBorder="1" applyAlignment="1">
      <x:alignment wrapText="1"/>
    </x:xf>
    <x:xf numFmtId="0" fontId="18" fillId="24" borderId="3" xfId="0" applyNumberFormat="1" applyFont="1" applyFill="1" applyBorder="1" applyAlignment="1">
      <x:alignment vertical="center" wrapText="1"/>
    </x:xf>
    <x:xf numFmtId="0" fontId="19" fillId="0" borderId="0" xfId="0" applyNumberFormat="1" applyFont="1" applyFill="1" applyBorder="1"/>
    <x:xf numFmtId="0" fontId="19" fillId="0" borderId="4" xfId="0" applyNumberFormat="1" applyFont="1" applyFill="1" applyBorder="1"/>
    <x:xf numFmtId="0" fontId="19" fillId="0" borderId="5" xfId="0" applyNumberFormat="1" applyFont="1" applyFill="1" applyBorder="1"/>
    <x:xf numFmtId="0" fontId="19" fillId="0" borderId="6" xfId="0" applyNumberFormat="1" applyFont="1" applyFill="1" applyBorder="1"/>
    <x:xf numFmtId="0" fontId="19" fillId="0" borderId="4" xfId="0" applyNumberFormat="1" applyFont="1" applyFill="1" applyBorder="1" applyAlignment="1">
      <x:alignment wrapText="1"/>
    </x:xf>
    <x:xf numFmtId="0" fontId="19" fillId="0" borderId="5" xfId="0" applyNumberFormat="1" applyFont="1" applyFill="1" applyBorder="1" applyAlignment="1">
      <x:alignment wrapText="1"/>
    </x:xf>
    <x:xf numFmtId="0" fontId="19" fillId="0" borderId="6" xfId="0" applyNumberFormat="1" applyFont="1" applyFill="1" applyBorder="1" applyAlignment="1">
      <x:alignment wrapText="1"/>
    </x:xf>
    <x:xf numFmtId="0" fontId="19" fillId="0" borderId="4" xfId="0" applyNumberFormat="1" applyFont="1" applyFill="1" applyBorder="1" applyAlignment="1">
      <x:alignment vertical="top" wrapText="1"/>
    </x:xf>
    <x:xf numFmtId="0" fontId="19" fillId="0" borderId="5" xfId="0" applyNumberFormat="1" applyFont="1" applyFill="1" applyBorder="1" applyAlignment="1">
      <x:alignment vertical="top" wrapText="1"/>
    </x:xf>
    <x:xf numFmtId="0" fontId="19" fillId="0" borderId="6" xfId="0" applyNumberFormat="1" applyFont="1" applyFill="1" applyBorder="1" applyAlignment="1">
      <x:alignment vertical="top" wrapText="1"/>
    </x:xf>
    <x:xf numFmtId="0" fontId="19" fillId="25" borderId="4" xfId="0" applyNumberFormat="1" applyFont="1" applyFill="1" applyBorder="1" applyAlignment="1">
      <x:alignment vertical="top" wrapText="1"/>
    </x:xf>
    <x:xf numFmtId="0" fontId="19" fillId="25" borderId="4" xfId="0" applyNumberFormat="1" applyFont="1" applyFill="1" applyBorder="1" applyAlignment="1">
      <x:alignment horizontal="center" vertical="top" wrapText="1"/>
    </x:xf>
    <x:xf numFmtId="0" fontId="19" fillId="0" borderId="5" xfId="0" applyNumberFormat="1" applyFont="1" applyFill="1" applyBorder="1" applyAlignment="1">
      <x:alignment horizontal="center" vertical="top" wrapText="1"/>
    </x:xf>
    <x:xf numFmtId="0" fontId="19" fillId="25" borderId="5" xfId="0" applyNumberFormat="1" applyFont="1" applyFill="1" applyBorder="1" applyAlignment="1">
      <x:alignment vertical="top" wrapText="1"/>
    </x:xf>
    <x:xf numFmtId="0" fontId="19" fillId="25" borderId="5" xfId="0" applyNumberFormat="1" applyFont="1" applyFill="1" applyBorder="1" applyAlignment="1">
      <x:alignment horizontal="center" vertical="top" wrapText="1"/>
    </x:xf>
    <x:xf numFmtId="0" fontId="19" fillId="25" borderId="6" xfId="0" applyNumberFormat="1" applyFont="1" applyFill="1" applyBorder="1" applyAlignment="1">
      <x:alignment vertical="top" wrapText="1"/>
    </x:xf>
    <x:xf numFmtId="0" fontId="19" fillId="25" borderId="6" xfId="0" applyNumberFormat="1" applyFont="1" applyFill="1" applyBorder="1" applyAlignment="1">
      <x:alignment horizontal="center" vertical="top" wrapText="1"/>
    </x:xf>
    <x:xf numFmtId="0" fontId="6" fillId="26" borderId="0" xfId="0" applyNumberFormat="1" applyFont="1" applyFill="1" applyBorder="1" applyAlignment="1">
      <x:alignment vertical="top" wrapText="1"/>
    </x:xf>
    <x:xf numFmtId="0" fontId="3" fillId="26" borderId="0" xfId="0" applyNumberFormat="1" applyFont="1" applyFill="1" applyBorder="1" applyAlignment="1">
      <x:alignment vertical="top" wrapText="1"/>
    </x:xf>
    <x:xf numFmtId="0" fontId="6" fillId="27" borderId="0" xfId="0" applyNumberFormat="1" applyFont="1" applyFill="1" applyBorder="1" applyAlignment="1">
      <x:alignment vertical="top" wrapText="1"/>
    </x:xf>
    <x:xf numFmtId="0" fontId="20" fillId="27" borderId="0" xfId="0" applyNumberFormat="1" applyFont="1" applyFill="1" applyBorder="1" applyAlignment="1">
      <x:alignment vertical="top" wrapText="1"/>
    </x:xf>
    <x:xf numFmtId="0" fontId="13" fillId="26" borderId="2" xfId="0" applyNumberFormat="1" applyFont="1" applyFill="1" applyBorder="1" applyAlignment="1">
      <x:alignment vertical="top" wrapText="1"/>
    </x:xf>
    <x:xf numFmtId="0" fontId="12" fillId="26" borderId="2" xfId="0" applyNumberFormat="1" applyFont="1" applyFill="1" applyBorder="1" applyAlignment="1">
      <x:alignment vertical="top" wrapText="1"/>
    </x:xf>
    <x:xf numFmtId="0" fontId="13" fillId="27" borderId="2" xfId="0" applyNumberFormat="1" applyFont="1" applyFill="1" applyBorder="1" applyAlignment="1">
      <x:alignment vertical="top" wrapText="1"/>
    </x:xf>
    <x:xf numFmtId="0" fontId="21" fillId="27" borderId="2" xfId="0" applyNumberFormat="1" applyFont="1" applyFill="1" applyBorder="1" applyAlignment="1">
      <x:alignment vertical="top" wrapText="1"/>
    </x:xf>
    <x:xf numFmtId="0" fontId="19" fillId="27" borderId="4" xfId="0" applyNumberFormat="1" applyFont="1" applyFill="1" applyBorder="1" applyAlignment="1">
      <x:alignment vertical="top" wrapText="1"/>
    </x:xf>
    <x:xf numFmtId="0" fontId="20" fillId="27" borderId="4" xfId="0" applyNumberFormat="1" applyFont="1" applyFill="1" applyBorder="1" applyAlignment="1">
      <x:alignment vertical="top" wrapText="1"/>
    </x:xf>
    <x:xf numFmtId="0" fontId="3" fillId="28" borderId="0" xfId="0" applyNumberFormat="1" applyFont="1" applyFill="1" applyBorder="1" applyAlignment="1">
      <x:alignment vertical="top" wrapText="1"/>
    </x:xf>
    <x:xf numFmtId="0" fontId="20" fillId="28" borderId="0" xfId="0" applyNumberFormat="1" applyFont="1" applyFill="1" applyBorder="1" applyAlignment="1">
      <x:alignment vertical="top" wrapText="1"/>
    </x:xf>
    <x:xf numFmtId="0" fontId="20" fillId="29" borderId="0" xfId="0" applyNumberFormat="1" applyFont="1" applyFill="1" applyBorder="1" applyAlignment="1">
      <x:alignment vertical="top" wrapText="1"/>
    </x:xf>
    <x:xf numFmtId="0" fontId="12" fillId="28" borderId="2" xfId="0" applyNumberFormat="1" applyFont="1" applyFill="1" applyBorder="1" applyAlignment="1">
      <x:alignment vertical="top" wrapText="1"/>
    </x:xf>
    <x:xf numFmtId="0" fontId="21" fillId="29" borderId="2" xfId="0" applyNumberFormat="1" applyFont="1" applyFill="1" applyBorder="1" applyAlignment="1">
      <x:alignment vertical="top" wrapText="1"/>
    </x:xf>
    <x:xf numFmtId="0" fontId="20" fillId="29" borderId="4" xfId="0" applyNumberFormat="1" applyFont="1" applyFill="1" applyBorder="1" applyAlignment="1">
      <x:alignment vertical="top" wrapText="1"/>
    </x:xf>
  </x:cellXfs>
  <x:cellStyles count="1">
    <x:cellStyle name="Normal" xfId="0"/>
  </x:cellStyles>
  <x:dxfs count="35">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6B501C"/>
      </x:font>
      <x:fill>
        <x:patternFill>
          <x:bgColor rgb="FFF6E8B1"/>
        </x:patternFill>
      </x:fill>
    </x:dxf>
    <x:dxf>
      <x:font>
        <x:b/>
        <x:color rgb="FF195C3B"/>
      </x:font>
      <x:fill>
        <x:patternFill>
          <x:bgColor rgb="FFD8EFD5"/>
        </x:patternFill>
      </x:fill>
    </x:dxf>
    <x:dxf>
      <x:font>
        <x:b/>
        <x:color rgb="FF9F2940"/>
      </x:font>
      <x:fill>
        <x:patternFill>
          <x:bgColor rgb="FFF6D1D5"/>
        </x:patternFill>
      </x:fill>
    </x:dxf>
    <x:dxf>
      <x:font>
        <x:b/>
        <x:color rgb="FF195C3B"/>
      </x:font>
      <x:fill>
        <x:patternFill>
          <x:bgColor rgb="FFD9EFD9"/>
        </x:patternFill>
      </x:fill>
    </x:dxf>
    <x:dxf>
      <x:font>
        <x:b/>
        <x:color rgb="FF6B501C"/>
      </x:font>
      <x:fill>
        <x:patternFill>
          <x:bgColor rgb="FFF7E8B8"/>
        </x:patternFill>
      </x:fill>
    </x:dxf>
    <x:dxf>
      <x:font>
        <x:color rgb="FF842029"/>
      </x:font>
      <x:fill>
        <x:patternFill>
          <x:bgColor rgb="FFF8D7D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3730A3"/>
      </x:font>
      <x:fill>
        <x:patternFill>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c909d58ac94945" /><Relationship Type="http://schemas.openxmlformats.org/officeDocument/2006/relationships/theme" Target="/xl/theme/theme1.xml" Id="R27e785970c44471c" /><Relationship Type="http://schemas.openxmlformats.org/officeDocument/2006/relationships/sharedStrings" Target="/xl/sharedStrings.xml" Id="Rd3a2d37c8b804d02" /><Relationship Type="http://schemas.openxmlformats.org/officeDocument/2006/relationships/worksheet" Target="/xl/worksheets/sheet1.xml" Id="R5c6d75c39a794386" /><Relationship Type="http://schemas.openxmlformats.org/officeDocument/2006/relationships/worksheet" Target="/xl/worksheets/sheet2.xml" Id="R3a4529c91f1944b5" /><Relationship Type="http://schemas.openxmlformats.org/officeDocument/2006/relationships/worksheet" Target="/xl/worksheets/sheet3.xml" Id="R35bf7142d8934b43" /><Relationship Type="http://schemas.openxmlformats.org/officeDocument/2006/relationships/worksheet" Target="/xl/worksheets/sheet4.xml" Id="R8fc8e98234684a53" /><Relationship Type="http://schemas.openxmlformats.org/officeDocument/2006/relationships/worksheet" Target="/xl/worksheets/sheet5.xml" Id="Re92f0150b0c84bc4" /><Relationship Type="http://schemas.openxmlformats.org/officeDocument/2006/relationships/worksheet" Target="/xl/worksheets/sheet6.xml" Id="Rb644898d6f904b8a" /><Relationship Type="http://schemas.openxmlformats.org/officeDocument/2006/relationships/worksheet" Target="/xl/worksheets/sheet7.xml" Id="Rd940e3ba00864c2b" /><Relationship Type="http://schemas.openxmlformats.org/officeDocument/2006/relationships/worksheet" Target="/xl/worksheets/sheet8.xml" Id="Rfdc6f91174ce4ef8" /><Relationship Type="http://schemas.openxmlformats.org/officeDocument/2006/relationships/worksheet" Target="/xl/worksheets/sheet9.xml" Id="R6dc212dfa5d24ff8" /><Relationship Type="http://schemas.openxmlformats.org/officeDocument/2006/relationships/worksheet" Target="/xl/worksheets/sheet10.xml" Id="R8b7a442aa9e84ddc" /></Relationships>
</file>

<file path=xl/tables/table1.xml><?xml version="1.0" encoding="utf-8"?>
<x:table xmlns:x="http://schemas.openxmlformats.org/spreadsheetml/2006/main" id="1" name="PhaseTwoApprovalSet" displayName="PhaseTwoApprovalSet" ref="A5:J12" headerRowCount="1" totalsRowCount="0" totalsRowShown="0">
  <x:tableColumns count="10">
    <x:tableColumn id="1" name="#"/>
    <x:tableColumn id="2" name="Approval System"/>
    <x:tableColumn id="3" name="Screens / States"/>
    <x:tableColumn id="4" name="Route(s)"/>
    <x:tableColumn id="5" name="Design Status"/>
    <x:tableColumn id="6" name="Build Status"/>
    <x:tableColumn id="7" name="Priority"/>
    <x:tableColumn id="8" name="Approval Boundary"/>
    <x:tableColumn id="9" name="SEO / Content Coverage"/>
    <x:tableColumn id="10" name="Gate / Next Step"/>
  </x:tableColumns>
  <x:tableStyleInfo name="TableStyleMedium2" showFirstColumn="0" showLastColumn="0" showRowStripes="1" showColumnStripes="0"/>
</x:table>
</file>

<file path=xl/tables/table2.xml><?xml version="1.0" encoding="utf-8"?>
<x:table xmlns:x="http://schemas.openxmlformats.org/spreadsheetml/2006/main" id="2" name="PhaseTwoTemplates" displayName="PhaseTwoTemplates" ref="A4:E19" headerRowCount="1" totalsRowCount="0" totalsRowShown="0">
  <x:tableColumns count="5">
    <x:tableColumn id="1" name="Type"/>
    <x:tableColumn id="2" name="Component"/>
    <x:tableColumn id="3" name="Applies To"/>
    <x:tableColumn id="4" name="Approval Requirement"/>
    <x:tableColumn id="5" name="Coverage / Reuse Rule"/>
  </x:tableColumns>
  <x:tableStyleInfo name="TableStyleMedium2" showFirstColumn="0" showLastColumn="0" showRowStripes="1" showColumnStripes="0"/>
</x:table>
</file>

<file path=xl/tables/table3.xml><?xml version="1.0" encoding="utf-8"?>
<x:table xmlns:x="http://schemas.openxmlformats.org/spreadsheetml/2006/main" id="3" name="PhaseTwoProductContent" displayName="PhaseTwoProductContent" ref="A5:H24" headerRowCount="1" totalsRowCount="0" totalsRowShown="0">
  <x:tableColumns count="8">
    <x:tableColumn id="1" name="Area"/>
    <x:tableColumn id="2" name="Field / Asset"/>
    <x:tableColumn id="3" name="System of Record"/>
    <x:tableColumn id="4" name="Required For"/>
    <x:tableColumn id="5" name="Owner"/>
    <x:tableColumn id="6" name="Status"/>
    <x:tableColumn id="7" name="Validation / Acceptance"/>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PhaseTwoDecisions" displayName="PhaseTwoDecisions" ref="A5:G28" headerRowCount="1" totalsRowCount="0" totalsRowShown="0">
  <x:tableColumns count="7">
    <x:tableColumn id="1" name="Area"/>
    <x:tableColumn id="2" name="Decision / Access"/>
    <x:tableColumn id="3" name="Current Direction"/>
    <x:tableColumn id="4" name="Status"/>
    <x:tableColumn id="5" name="Needed For"/>
    <x:tableColumn id="6" name="Owner"/>
    <x:tableColumn id="7" name="Gate / Next Action"/>
  </x:tableColumns>
  <x:tableStyleInfo name="TableStyleMedium2" showFirstColumn="0" showLastColumn="0" showRowStripes="1" showColumnStripes="0"/>
</x:table>
</file>

<file path=xl/tables/table5.xml><?xml version="1.0" encoding="utf-8"?>
<x:table xmlns:x="http://schemas.openxmlformats.org/spreadsheetml/2006/main" id="5" name="PhaseTwoImplementation" displayName="PhaseTwoImplementation" ref="A4:F17" headerRowCount="1" totalsRowCount="0" totalsRowShown="0">
  <x:tableColumns count="6">
    <x:tableColumn id="1" name="Order"/>
    <x:tableColumn id="2" name="Phase"/>
    <x:tableColumn id="3" name="Current / Future"/>
    <x:tableColumn id="4" name="Primary Owner"/>
    <x:tableColumn id="5" name="Work"/>
    <x:tableColumn id="6" name="Required Gate / Output"/>
  </x:tableColumns>
  <x:tableStyleInfo name="TableStyleMedium2" showFirstColumn="0" showLastColumn="0" showRowStripes="1" showColumnStripes="0"/>
</x:table>
</file>

<file path=xl/tables/table6.xml><?xml version="1.0" encoding="utf-8"?>
<x:table xmlns:x="http://schemas.openxmlformats.org/spreadsheetml/2006/main" id="6" name="PhaseTwoQAGates" displayName="PhaseTwoQAGates" ref="A5:G33" headerRowCount="1" totalsRowCount="0" totalsRowShown="0">
  <x:tableColumns count="7">
    <x:tableColumn id="1" name="#"/>
    <x:tableColumn id="2" name="Area"/>
    <x:tableColumn id="3" name="Acceptance Test"/>
    <x:tableColumn id="4" name="When"/>
    <x:tableColumn id="5" name="Owner"/>
    <x:tableColumn id="6" name="Status"/>
    <x:tableColumn id="7" name="Evidence / Notes"/>
  </x:tableColumns>
  <x:tableStyleInfo name="TableStyleMedium2" showFirstColumn="0" showLastColumn="0" showRowStripes="1" showColumnStripes="0"/>
</x:table>
</file>

<file path=xl/tables/table7.xml><?xml version="1.0" encoding="utf-8"?>
<x:table xmlns:x="http://schemas.openxmlformats.org/spreadsheetml/2006/main" id="7" name="PhaseTwoScopeCosts" displayName="PhaseTwoScopeCosts" ref="A4:G21" headerRowCount="1" totalsRowCount="0" totalsRowShown="0">
  <x:tableColumns count="7">
    <x:tableColumn id="1" name="Type"/>
    <x:tableColumn id="2" name="Item"/>
    <x:tableColumn id="3" name="Current Planning Assumption"/>
    <x:tableColumn id="4" name="Owner / Payer"/>
    <x:tableColumn id="5" name="Trigger"/>
    <x:tableColumn id="6" name="Status"/>
    <x:tableColumn id="7" name="Source / Boundary"/>
  </x:tableColumns>
  <x:tableStyleInfo name="TableStyleMedium2" showFirstColumn="0" showLastColumn="0" showRowStripes="1" showColumnStripes="0"/>
</x:table>
</file>

<file path=xl/tables/table8.xml><?xml version="1.0" encoding="utf-8"?>
<x:table xmlns:x="http://schemas.openxmlformats.org/spreadsheetml/2006/main" id="8" name="PhaseTwoTrainingHandoff" displayName="PhaseTwoTrainingHandoff" ref="A5:H18" headerRowCount="1" totalsRowCount="0" totalsRowShown="0">
  <x:tableColumns count="8">
    <x:tableColumn id="1" name="#"/>
    <x:tableColumn id="2" name="Welcome Packet Item"/>
    <x:tableColumn id="3" name="What Staff Will Learn or Do"/>
    <x:tableColumn id="4" name="Blue Nova Provides"/>
    <x:tableColumn id="5" name="Client Provides or Does"/>
    <x:tableColumn id="6" name="Timing / Gate"/>
    <x:tableColumn id="7" name="Status"/>
    <x:tableColumn id="8" name="Evidence /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9c49033ba74406" /></Relationships>
</file>

<file path=xl/worksheets/_rels/sheet2.xml.rels>&#65279;<?xml version="1.0" encoding="utf-8"?><Relationships xmlns="http://schemas.openxmlformats.org/package/2006/relationships"><Relationship Type="http://schemas.openxmlformats.org/officeDocument/2006/relationships/table" Target="/xl/tables/table2.xml" Id="R1636eeb024844052" /></Relationships>
</file>

<file path=xl/worksheets/_rels/sheet3.xml.rels>&#65279;<?xml version="1.0" encoding="utf-8"?><Relationships xmlns="http://schemas.openxmlformats.org/package/2006/relationships"><Relationship Type="http://schemas.openxmlformats.org/officeDocument/2006/relationships/table" Target="/xl/tables/table3.xml" Id="Rcb596118607a44ef" /></Relationships>
</file>

<file path=xl/worksheets/_rels/sheet4.xml.rels>&#65279;<?xml version="1.0" encoding="utf-8"?><Relationships xmlns="http://schemas.openxmlformats.org/package/2006/relationships"><Relationship Type="http://schemas.openxmlformats.org/officeDocument/2006/relationships/table" Target="/xl/tables/table4.xml" Id="R464a6fcb44174cbc" /></Relationships>
</file>

<file path=xl/worksheets/_rels/sheet5.xml.rels>&#65279;<?xml version="1.0" encoding="utf-8"?><Relationships xmlns="http://schemas.openxmlformats.org/package/2006/relationships"><Relationship Type="http://schemas.openxmlformats.org/officeDocument/2006/relationships/table" Target="/xl/tables/table5.xml" Id="R9e6ecb76ab6d4b8c" /></Relationships>
</file>

<file path=xl/worksheets/_rels/sheet6.xml.rels>&#65279;<?xml version="1.0" encoding="utf-8"?><Relationships xmlns="http://schemas.openxmlformats.org/package/2006/relationships"><Relationship Type="http://schemas.openxmlformats.org/officeDocument/2006/relationships/table" Target="/xl/tables/table6.xml" Id="Ra229b5909eb64d1f" /></Relationships>
</file>

<file path=xl/worksheets/_rels/sheet7.xml.rels>&#65279;<?xml version="1.0" encoding="utf-8"?><Relationships xmlns="http://schemas.openxmlformats.org/package/2006/relationships"><Relationship Type="http://schemas.openxmlformats.org/officeDocument/2006/relationships/table" Target="/xl/tables/table7.xml" Id="R464e7707eadd4789" /></Relationships>
</file>

<file path=xl/worksheets/_rels/sheet9.xml.rels>&#65279;<?xml version="1.0" encoding="utf-8"?><Relationships xmlns="http://schemas.openxmlformats.org/package/2006/relationships"><Relationship Type="http://schemas.openxmlformats.org/officeDocument/2006/relationships/table" Target="/xl/tables/table8.xml" Id="Re100dbf20d7f4532"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5" hidden="0" customWidth="1"/>
    <x:col min="3" max="3" width="32" hidden="0" customWidth="1"/>
    <x:col min="4" max="4" width="23" hidden="0" customWidth="1"/>
    <x:col min="5" max="5" width="14" hidden="0" customWidth="1"/>
    <x:col min="6" max="6" width="14" hidden="0" customWidth="1"/>
    <x:col min="7" max="7" width="14" hidden="0" customWidth="1"/>
    <x:col min="8" max="8" width="37" hidden="0" customWidth="1"/>
    <x:col min="9" max="9" width="37" hidden="0" customWidth="1"/>
    <x:col min="10" max="10" width="37" hidden="0" customWidth="1"/>
  </x:cols>
  <x:sheetData>
    <x:row r="1" ht="32" customHeight="1">
      <x:c r="A1" s="3" t="str">
        <x:v>Rebekah's Health &amp; Nutrition - Complete Phase Two Ecommerce Approval Set</x:v>
      </x:c>
    </x:row>
    <x:row r="2" ht="36" customHeight="1">
      <x:c r="A2" s="7" t="str">
        <x:v>Current authorization: local planning and responsive mockups only. No Cloudways, staging, live website, WordPress implementation, integrations, purchases, or paid services. Every system below must be approved before implementation.</x:v>
      </x:c>
    </x:row>
    <x:row r="3" ht="26" customHeight="1">
      <x:c r="A3" s="9" t="str">
        <x:v>Systems</x:v>
      </x:c>
      <x:c r="B3" s="13" t="n">
        <x:f>COUNTA(B6:B12)</x:f>
        <x:v>7</x:v>
      </x:c>
      <x:c r="C3" s="9" t="str">
        <x:v>Internally approved</x:v>
      </x:c>
      <x:c r="D3" s="13" t="n">
        <x:v>6</x:v>
      </x:c>
      <x:c r="E3" s="9" t="str">
        <x:v>Awaiting internal</x:v>
      </x:c>
      <x:c r="F3" s="13" t="n">
        <x:v>1</x:v>
      </x:c>
      <x:c r="G3" s="9" t="str">
        <x:v>Client approved</x:v>
      </x:c>
      <x:c r="H3" s="13" t="n">
        <x:v>6</x:v>
      </x:c>
      <x:c r="I3" s="9" t="str">
        <x:v>Current gate</x:v>
      </x:c>
      <x:c r="J3" s="13" t="str">
        <x:v>Todd reviews Header + Footer v1.6</x:v>
      </x:c>
    </x:row>
    <x:row r="5" ht="30" customHeight="1">
      <x:c r="A5" s="17" t="str">
        <x:v>#</x:v>
      </x:c>
      <x:c r="B5" s="17" t="str">
        <x:v>Approval System</x:v>
      </x:c>
      <x:c r="C5" s="17" t="str">
        <x:v>Screens / States</x:v>
      </x:c>
      <x:c r="D5" s="17" t="str">
        <x:v>Route(s)</x:v>
      </x:c>
      <x:c r="E5" s="17" t="str">
        <x:v>Design Status</x:v>
      </x:c>
      <x:c r="F5" s="17" t="str">
        <x:v>Build Status</x:v>
      </x:c>
      <x:c r="G5" s="17" t="str">
        <x:v>Priority</x:v>
      </x:c>
      <x:c r="H5" s="17" t="str">
        <x:v>Approval Boundary</x:v>
      </x:c>
      <x:c r="I5" s="17" t="str">
        <x:v>SEO / Content Coverage</x:v>
      </x:c>
      <x:c r="J5" s="17" t="str">
        <x:v>Gate / Next Step</x:v>
      </x:c>
    </x:row>
    <x:row r="6" ht="80" customHeight="1">
      <x:c r="A6" s="21" t="n">
        <x:v>1</x:v>
      </x:c>
      <x:c r="B6" s="20" t="str">
        <x:v>Header + Footer Ecommerce Add-On</x:v>
      </x:c>
      <x:c r="C6" s="20" t="str">
        <x:v>Approved header, responsive menu, ecommerce utility row, fifth expandable footer section</x:v>
      </x:c>
      <x:c r="D6" s="20" t="str">
        <x:v>Sitewide</x:v>
      </x:c>
      <x:c r="E6" s="131" t="str">
        <x:v>Revision Needed</x:v>
      </x:c>
      <x:c r="F6" s="20" t="str">
        <x:v>Local mockup</x:v>
      </x:c>
      <x:c r="G6" s="20" t="str">
        <x:v>High</x:v>
      </x:c>
      <x:c r="H6" s="20" t="str">
        <x:v>Literal addition to approved Phase One chrome: Online Store, search, account, cart/count, and one fifth footer section only.</x:v>
      </x:c>
      <x:c r="I6" s="20" t="str">
        <x:v>Store entry, internal links, policy links, responsive navigation, account/cart indexation.</x:v>
      </x:c>
      <x:c r="J6" s="20" t="str">
        <x:v>v1.6 moves Shop Fullscript out of the In-Store Products submenu and places it directly on the main navigation bar. Awaiting Todd review; Rebekah's prior v1.5 approval does not transfer to this revision.</x:v>
      </x:c>
    </x:row>
    <x:row r="7" ht="80" customHeight="1">
      <x:c r="A7" s="21" t="n">
        <x:v>2</x:v>
      </x:c>
      <x:c r="B7" s="20" t="str">
        <x:v>Main Homepage Ecommerce Integration</x:v>
      </x:c>
      <x:c r="C7" s="20" t="str">
        <x:v>All existing homepage components plus the Shop Online hero entry and one ecommerce section with three illustrated shopping paths and four featured product cards</x:v>
      </x:c>
      <x:c r="D7" s="20" t="str">
        <x:v>/</x:v>
      </x:c>
      <x:c r="E7" s="131" t="str">
        <x:v>Client Approved</x:v>
      </x:c>
      <x:c r="F7" s="20" t="str">
        <x:v>Local page-body mockup</x:v>
      </x:c>
      <x:c r="G7" s="20" t="str">
        <x:v>High</x:v>
      </x:c>
      <x:c r="H7" s="20" t="str">
        <x:v>Preserve every existing homepage component. Add only the Shop Online button and ecommerce section. Use broad-assortment language; omit Clarkston, fulfillment, shipping, and internal notes. Global chrome stays outside this page mockup.</x:v>
      </x:c>
      <x:c r="I7" s="20" t="str">
        <x:v>Existing homepage SEO/content remains primary; add clear internal links to /shop/ and useful product discovery without internal mockup or integration language.</x:v>
      </x:c>
      <x:c r="J7" s="20" t="str">
        <x:v>Exact Main Homepage Ecommerce Integration v1.9 was approved by Todd and approved by Rebekah on September 2, 2026. Its Shop Online control routes directly to the separate Shop page, satisfying the requirement repeated in Rebekah's email.</x:v>
      </x:c>
    </x:row>
    <x:row r="8" ht="80" customHeight="1">
      <x:c r="A8" s="21" t="n">
        <x:v>3</x:v>
      </x:c>
      <x:c r="B8" s="20" t="str">
        <x:v>Shop Homepage + Product Catalog</x:v>
      </x:c>
      <x:c r="C8" s="20" t="str">
        <x:v>Store introduction, four illustrated wellness-goal paths, personal guidance, catalog search, sorting, six sample products, pagination, no-results recovery, the approved missing-photo component, and two expandable filter groups for Brands and Wellness Categories</x:v>
      </x:c>
      <x:c r="D8" s="20" t="str">
        <x:v>/shop/ and shared archives</x:v>
      </x:c>
      <x:c r="E8" s="131" t="str">
        <x:v>Internally Approved</x:v>
      </x:c>
      <x:c r="F8" s="20" t="str">
        <x:v>Local page-body mockup</x:v>
      </x:c>
      <x:c r="G8" s="20" t="str">
        <x:v>High</x:v>
      </x:c>
      <x:c r="H8" s="20" t="str">
        <x:v>Use /shop/ as the store homepage and full catalog. The client-requested v1.9 filter revision uses exactly two compact expandable groups on desktop and mobile. Actual choices enabled for the 25-product pilot and each product's mapping remain connected-data validation.</x:v>
      </x:c>
      <x:c r="I8" s="20" t="str">
        <x:v>Unique shop introduction, category discovery, archive headings, breadcrumbs, canonicals, pagination, filter/indexation rules, card semantics, accessible result feedback, and product-help content.</x:v>
      </x:c>
      <x:c r="J8" s="20" t="str">
        <x:v>Shop Homepage + Product Catalog v1.9 was approved internally by Todd on September 3, 2026 and now awaits Rebekah's exact-version confirmation. It preserves v1.8 and replaces the former product-form and price filters with two expandable groups containing Rebekah's nine brands and 21 wellness categories on desktop and mobile. Real product mappings remain a later Revel/Kosmos validation gate.</x:v>
      </x:c>
    </x:row>
    <x:row r="9" ht="84" hidden="0" customHeight="1">
      <x:c r="A9" s="21" t="n">
        <x:v>4</x:v>
      </x:c>
      <x:c r="B9" s="20" t="str">
        <x:v>Product Page Templates</x:v>
      </x:c>
      <x:c r="C9" s="20" t="str">
        <x:v>Simple and variation product examples with three-view galleries, the approved sitewide missing-product-photo component, quantity and variation controls, compact product details, optional source-verified Directions &amp; Warnings, phone help beside Add to Cart, and related products</x:v>
      </x:c>
      <x:c r="D9" s="20" t="str">
        <x:v>/product/{slug}/</x:v>
      </x:c>
      <x:c r="E9" s="131" t="str">
        <x:v>Client Approved</x:v>
      </x:c>
      <x:c r="F9" s="20" t="str">
        <x:v>Local page-body mockup</x:v>
      </x:c>
      <x:c r="G9" s="20" t="str">
        <x:v>High</x:v>
      </x:c>
      <x:c r="H9" s="20" t="str">
        <x:v>Approve the shared structure and interactions now. Directions &amp; Warnings is collapsed and appears only when verified packaging, manufacturer/supplier materials, or approved catalog data exists; otherwise omit it. Shipping and returns stay in the purchase path and policy pages. Product media and connected catalog content still wait for Revel/Kosmos.</x:v>
      </x:c>
      <x:c r="I9" s="20" t="str">
        <x:v>Product schema, unique copy, gallery semantics and alt text, compact product details, source-verified directions/warnings when applicable, stock language, variation errors, related items, and accessible support information.</x:v>
      </x:c>
      <x:c r="J9" s="20" t="str">
        <x:v>Exact Product Page Templates v1.7 was approved by Todd and approved by Rebekah on September 2, 2026. Connected product data, real photography, and verified source content remain separate implementation-validation gates.</x:v>
      </x:c>
    </x:row>
    <x:row r="10" ht="80" customHeight="1">
      <x:c r="A10" s="21" t="n">
        <x:v>5</x:v>
      </x:c>
      <x:c r="B10" s="20" t="str">
        <x:v>Purchase Path</x:v>
      </x:c>
      <x:c r="C10" s="20" t="str">
        <x:v>Connected cart with the approved sitewide missing-product-photo component, empty-cart recovery, checkout fields, validation, order review, and customer-facing confirmation</x:v>
      </x:c>
      <x:c r="D10" s="20" t="str">
        <x:v>/cart/; /checkout/; confirmation</x:v>
      </x:c>
      <x:c r="E10" s="131" t="str">
        <x:v>Client Approved</x:v>
      </x:c>
      <x:c r="F10" s="20" t="str">
        <x:v>Local page-body mockup</x:v>
      </x:c>
      <x:c r="G10" s="20" t="str">
        <x:v>High</x:v>
      </x:c>
      <x:c r="H10" s="20" t="str">
        <x:v>Approve the journey hierarchy and interactions now. Shipping rates, tax, payment fields, wallet options, provider messages, emails, and final totals wait for approved services and testing. Customer-facing copy must remain free of location and internal-review terminology.</x:v>
      </x:c>
      <x:c r="I10" s="20" t="str">
        <x:v>Transactional indexation, policy and help links, consent, field labels, validation, recovery, order status, and customer support information.</x:v>
      </x:c>
      <x:c r="J10" s="20" t="str">
        <x:v>Exact Purchase Path v1.6 was approved by Todd and approved by Rebekah on September 2, 2026. Payment, shipping, tax, email, inventory, order, and provider behavior remain connected-service validation gates.</x:v>
      </x:c>
    </x:row>
    <x:row r="11" ht="96" hidden="0" customHeight="1">
      <x:c r="A11" s="21" t="n">
        <x:v>6</x:v>
      </x:c>
      <x:c r="B11" s="20" t="str">
        <x:v>Customer Account System</x:v>
      </x:c>
      <x:c r="C11" s="20" t="str">
        <x:v>Guest checkout, automatic optional account creation, sign-in, password recovery, dashboard, addresses, order history, order detail, and clearly separated review guidance</x:v>
      </x:c>
      <x:c r="D11" s="20" t="str">
        <x:v>/my-account/ and child screens</x:v>
      </x:c>
      <x:c r="E11" s="131" t="str">
        <x:v>Client Approved</x:v>
      </x:c>
      <x:c r="F11" s="20" t="str">
        <x:v>Local page-body mockup</x:v>
      </x:c>
      <x:c r="G11" s="20" t="str">
        <x:v>Medium</x:v>
      </x:c>
      <x:c r="H11" s="20" t="str">
        <x:v>Approve the customer experience now: guest checkout stays available during checkout; customers create optional accounts without staff approval; standard email, password, and recovery are used; customer 2FA is not planned. Staff/administrator backend security is configured and tested separately before launch.</x:v>
      </x:c>
      <x:c r="I11" s="20" t="str">
        <x:v>Noindex account screens; privacy and consent; standard sign-in and password recovery, clear field labels, order access, address editing, and customer-safe support guidance.</x:v>
      </x:c>
      <x:c r="J11" s="20" t="str">
        <x:v>Exact Customer Account System v1.6 was approved by Todd and approved by Rebekah on September 2, 2026. Staff/admin backend security and all connected-service behavior remain separate staging and implementation-validation gates.</x:v>
      </x:c>
    </x:row>
    <x:row r="12" ht="80" customHeight="1">
      <x:c r="A12" s="21" t="n">
        <x:v>7</x:v>
      </x:c>
      <x:c r="B12" s="20" t="str">
        <x:v>Store States + Components</x:v>
      </x:c>
      <x:c r="C12" s="20" t="str">
        <x:v>Ten non-ideal states including the approved sitewide missing-product-photo component and its usage rule, plus the mobile filter dialog and responsive/accessibility checklist</x:v>
      </x:c>
      <x:c r="D12" s="20" t="str">
        <x:v>Shared across store</x:v>
      </x:c>
      <x:c r="E12" s="131" t="str">
        <x:v>Client Approved</x:v>
      </x:c>
      <x:c r="F12" s="20" t="str">
        <x:v>Local page-body mockup</x:v>
      </x:c>
      <x:c r="G12" s="20" t="str">
        <x:v>High</x:v>
      </x:c>
      <x:c r="H12" s="20" t="str">
        <x:v>Approve recovery hierarchy and accessibility behavior now. The missing-product-photo component is an approved site rule: use it only in real product-photo slots lacking approved photography, then replace it automatically when photography arrives.</x:v>
      </x:c>
      <x:c r="I12" s="20" t="str">
        <x:v>Honest stock/error language, accessible recovery actions, complete responsive behavior, keyboard/focus, labels, contrast, and reduced motion.</x:v>
      </x:c>
      <x:c r="J12" s="20" t="str">
        <x:v>Exact Store States + Components v1.5 was approved by Todd and approved by Rebekah on September 2, 2026. Provider-specific messages remain connected-service implementation-validation inputs.</x:v>
      </x:c>
    </x:row>
  </x:sheetData>
  <x:mergeCells>
    <x:mergeCell ref="A1:J1"/>
    <x:mergeCell ref="A2:J2"/>
  </x:mergeCells>
  <x:conditionalFormatting sqref="E6:E30">
    <x:cfRule type="containsText" dxfId="0" priority="1" operator="containsText" text="Approved"/>
    <x:cfRule type="containsText" dxfId="1" priority="2" operator="containsText" text="Confirmed"/>
    <x:cfRule type="containsText" dxfId="2" priority="3" operator="containsText" text="In review"/>
    <x:cfRule type="containsText" dxfId="3" priority="4" operator="containsText" text="Needs approval"/>
    <x:cfRule type="beginsWith" dxfId="4" priority="5" operator="beginsWith" text="Pending"/>
  </x:conditionalFormatting>
  <x:dataValidations count="3">
    <x:dataValidation type="list" sqref="E6:E30">
      <x:formula1>"Planned,Planned next,In review,Revision needed,Internally Approved,Client Approved"</x:formula1>
    </x:dataValidation>
    <x:dataValidation type="list" sqref="F6:F30">
      <x:formula1>"Not started,Local mockup,Local prototype,Approved for build,Implemented"</x:formula1>
    </x:dataValidation>
    <x:dataValidation type="list" sqref="G6:G30">
      <x:formula1>"High,Medium,Low"</x:formula1>
    </x:dataValidation>
  </x:dataValidations>
  <x:pageMargins left="0.7" right="0.7" top="0.75" bottom="0.75" header="0.3" footer="0.3"/>
  <x:tableParts count="1">
    <x:tablePart xmlns:r="http://schemas.openxmlformats.org/officeDocument/2006/relationships" r:id="R219c49033ba7440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34" hidden="0" customWidth="1"/>
    <x:col min="4" max="4" width="25" hidden="0" customWidth="1"/>
    <x:col min="5" max="5" width="54" hidden="0" customWidth="1"/>
  </x:cols>
  <x:sheetData>
    <x:row r="1" ht="32" customHeight="1">
      <x:c r="A1" s="3" t="str">
        <x:v>Phase Two Reusable Templates, Components, and Global Work</x:v>
      </x:c>
    </x:row>
    <x:row r="2" ht="36" customHeight="1">
      <x:c r="A2" s="7" t="str">
        <x:v>Approve reusable systems once, then adapt real data without redesigning sibling routes. Supporting content and technical systems are tracked even when they do not need their own polished page mockup.</x:v>
      </x:c>
    </x:row>
    <x:row r="4" ht="30" customHeight="1">
      <x:c r="A4" s="17" t="str">
        <x:v>Type</x:v>
      </x:c>
      <x:c r="B4" s="17" t="str">
        <x:v>Component</x:v>
      </x:c>
      <x:c r="C4" s="17" t="str">
        <x:v>Applies To</x:v>
      </x:c>
      <x:c r="D4" s="17" t="str">
        <x:v>Approval Requirement</x:v>
      </x:c>
      <x:c r="E4" s="17" t="str">
        <x:v>Coverage / Reuse Rule</x:v>
      </x:c>
    </x:row>
    <x:row r="5" ht="64" customHeight="1">
      <x:c r="A5" s="20" t="str">
        <x:v>Template</x:v>
      </x:c>
      <x:c r="B5" s="20" t="str">
        <x:v>Online Store homepage</x:v>
      </x:c>
      <x:c r="C5" s="20" t="str">
        <x:v>Primary ecommerce landing page</x:v>
      </x:c>
      <x:c r="D5" s="20" t="str">
        <x:v>Approve one responsive mockup</x:v>
      </x:c>
      <x:c r="E5" s="20" t="str">
        <x:v>Store introduction, Shop All, discovery routes, representative featured products, product-help guidance, store/in-store relationship.</x:v>
      </x:c>
    </x:row>
    <x:row r="6" ht="64" customHeight="1">
      <x:c r="A6" s="20" t="str">
        <x:v>Template</x:v>
      </x:c>
      <x:c r="B6" s="20" t="str">
        <x:v>Catalog/archive shell</x:v>
      </x:c>
      <x:c r="C6" s="20" t="str">
        <x:v>Shop All, category, brand, collection, and product search</x:v>
      </x:c>
      <x:c r="D6" s="20" t="str">
        <x:v>Approve once</x:v>
      </x:c>
      <x:c r="E6" s="20" t="str">
        <x:v>Shared heading, intro, breadcrumbs, product grid, search, sorting, filters, pagination, and empty state.</x:v>
      </x:c>
    </x:row>
    <x:row r="7" ht="64" customHeight="1">
      <x:c r="A7" s="20" t="str">
        <x:v>Component</x:v>
      </x:c>
      <x:c r="B7" s="20" t="str">
        <x:v>Product card</x:v>
      </x:c>
      <x:c r="C7" s="20" t="str">
        <x:v>Every product grid and related-product area</x:v>
      </x:c>
      <x:c r="D7" s="20" t="str">
        <x:v>Approve with catalog</x:v>
      </x:c>
      <x:c r="E7" s="20" t="str">
        <x:v>Image, name, brand/category context, price placeholder, stock/sale state, and accessible action. No reviews or wishlist.</x:v>
      </x:c>
    </x:row>
    <x:row r="8" ht="48" hidden="0" customHeight="1">
      <x:c r="A8" s="20" t="str">
        <x:v>Template</x:v>
      </x:c>
      <x:c r="B8" s="20" t="str">
        <x:v>Simple product page</x:v>
      </x:c>
      <x:c r="C8" s="20" t="str">
        <x:v>Standard single products</x:v>
      </x:c>
      <x:c r="D8" s="20" t="str">
        <x:v>Approve example</x:v>
      </x:c>
      <x:c r="E8" s="20" t="str">
        <x:v>Gallery, compact product details, price/stock placeholders, quantity, add to cart, phone guidance, related products, and a collapsed Directions &amp; Warnings disclosure only when verified source content exists. Shipping and returns remain in the purchase path and policy pages.</x:v>
      </x:c>
    </x:row>
    <x:row r="9" ht="24" hidden="0" customHeight="1">
      <x:c r="A9" s="20" t="str">
        <x:v>Template</x:v>
      </x:c>
      <x:c r="B9" s="20" t="str">
        <x:v>Variation product page</x:v>
      </x:c>
      <x:c r="C9" s="20" t="str">
        <x:v>Products with selectable options</x:v>
      </x:c>
      <x:c r="D9" s="20" t="str">
        <x:v>Approve example</x:v>
      </x:c>
      <x:c r="E9" s="20" t="str">
        <x:v>Reuse the simple layout and the same optional content rules with option selection, availability, price changes, unavailable combinations, and errors.</x:v>
      </x:c>
    </x:row>
    <x:row r="10" ht="64" customHeight="1">
      <x:c r="A10" s="20" t="str">
        <x:v>Prototype</x:v>
      </x:c>
      <x:c r="B10" s="20" t="str">
        <x:v>Purchase path</x:v>
      </x:c>
      <x:c r="C10" s="20" t="str">
        <x:v>Cart, checkout, and order confirmation</x:v>
      </x:c>
      <x:c r="D10" s="20" t="str">
        <x:v>Approve connected flow</x:v>
      </x:c>
      <x:c r="E10" s="20" t="str">
        <x:v>One customer journey with empty cart, validation, policy/help links, and confirmation—not unrelated pages.</x:v>
      </x:c>
    </x:row>
    <x:row r="11" ht="48" hidden="0" customHeight="1">
      <x:c r="A11" s="20" t="str">
        <x:v>Template</x:v>
      </x:c>
      <x:c r="B11" s="20" t="str">
        <x:v>Customer account shell</x:v>
      </x:c>
      <x:c r="C11" s="20" t="str">
        <x:v>Login, optional registration, password reset, dashboard, addresses, and orders</x:v>
      </x:c>
      <x:c r="D11" s="20" t="str">
        <x:v>Approve representative states, guest checkout, and optional-account presentation</x:v>
      </x:c>
      <x:c r="E11" s="20" t="str">
        <x:v>One compact customer shell. Guest checkout remains available during checkout; optional customer accounts are automatic and use the standard email, password, and reset flow. No customer 2FA add-on is planned. Staff/administrator backend protection is handled separately.</x:v>
      </x:c>
    </x:row>
    <x:row r="12" ht="64" customHeight="1">
      <x:c r="A12" s="20" t="str">
        <x:v>Component</x:v>
      </x:c>
      <x:c r="B12" s="20" t="str">
        <x:v>Store states</x:v>
      </x:c>
      <x:c r="C12" s="20" t="str">
        <x:v>Catalog, product, cart, checkout, and account</x:v>
      </x:c>
      <x:c r="D12" s="20" t="str">
        <x:v>Internally approved; client approval pending</x:v>
      </x:c>
      <x:c r="E12" s="20" t="str">
        <x:v>No results, stock/variation, missing image, loading, cart empty, validation, payment placeholder, and mobile filter states.</x:v>
      </x:c>
    </x:row>
    <x:row r="13" ht="64" customHeight="1">
      <x:c r="A13" s="20" t="str">
        <x:v>Global</x:v>
      </x:c>
      <x:c r="B13" s="20" t="str">
        <x:v>Commerce navigation</x:v>
      </x:c>
      <x:c r="C13" s="20" t="str">
        <x:v>Sitewide</x:v>
      </x:c>
      <x:c r="D13" s="20" t="str">
        <x:v>Internally approved; awaiting client</x:v>
      </x:c>
      <x:c r="E13" s="20" t="str">
        <x:v>Approved Phase One header plus Online Store, search, My Account, and cart/count. Do not redesign original navigation.</x:v>
      </x:c>
    </x:row>
    <x:row r="14" ht="64" customHeight="1">
      <x:c r="A14" s="20" t="str">
        <x:v>Global</x:v>
      </x:c>
      <x:c r="B14" s="20" t="str">
        <x:v>Online Store footer section</x:v>
      </x:c>
      <x:c r="C14" s="20" t="str">
        <x:v>Sitewide footer</x:v>
      </x:c>
      <x:c r="D14" s="20" t="str">
        <x:v>Internally approved; awaiting client</x:v>
      </x:c>
      <x:c r="E14" s="20" t="str">
        <x:v>Add one fifth expandable section while preserving original footer and accordion behavior.</x:v>
      </x:c>
    </x:row>
    <x:row r="15" ht="64" customHeight="1">
      <x:c r="A15" s="20" t="str">
        <x:v>Content</x:v>
      </x:c>
      <x:c r="B15" s="20" t="str">
        <x:v>Transactional emails</x:v>
      </x:c>
      <x:c r="C15" s="20" t="str">
        <x:v>Customer and staff order notifications</x:v>
      </x:c>
      <x:c r="D15" s="20" t="str">
        <x:v>Approve during implementation</x:v>
      </x:c>
      <x:c r="E15" s="20" t="str">
        <x:v>Sender/business details, order content, help links, delivery, failed payment, refund, cancellation, and low-stock behavior.</x:v>
      </x:c>
    </x:row>
    <x:row r="16" ht="64" customHeight="1">
      <x:c r="A16" s="20" t="str">
        <x:v>Content</x:v>
      </x:c>
      <x:c r="B16" s="20" t="str">
        <x:v>Ecommerce policies</x:v>
      </x:c>
      <x:c r="C16" s="20" t="str">
        <x:v>Shipping, Returns, Terms, Privacy, Disclaimer</x:v>
      </x:c>
      <x:c r="D16" s="20" t="str">
        <x:v>Content approval required</x:v>
      </x:c>
      <x:c r="E16" s="20" t="str">
        <x:v>Accounts, checkout, payments, emails, processors, shipping, returns, cancellation, damage/loss, and customer-service details.</x:v>
      </x:c>
    </x:row>
    <x:row r="17" ht="64" customHeight="1">
      <x:c r="A17" s="20" t="str">
        <x:v>Global</x:v>
      </x:c>
      <x:c r="B17" s="20" t="str">
        <x:v>Commerce SEO</x:v>
      </x:c>
      <x:c r="C17" s="20" t="str">
        <x:v>Storefront and transaction screens</x:v>
      </x:c>
      <x:c r="D17" s="20" t="str">
        <x:v>Integrated QA</x:v>
      </x:c>
      <x:c r="E17" s="20" t="str">
        <x:v>Titles, metadata, canonicals, schema, breadcrumbs, sitemaps, archive/indexation rules, image SEO, and internal linking.</x:v>
      </x:c>
    </x:row>
    <x:row r="18" ht="64" customHeight="1">
      <x:c r="A18" s="20" t="str">
        <x:v>Global</x:v>
      </x:c>
      <x:c r="B18" s="20" t="str">
        <x:v>Accessibility + responsive system</x:v>
      </x:c>
      <x:c r="C18" s="20" t="str">
        <x:v>All seven approval systems</x:v>
      </x:c>
      <x:c r="D18" s="20" t="str">
        <x:v>Integrated QA</x:v>
      </x:c>
      <x:c r="E18" s="20" t="str">
        <x:v>Desktop/tablet/phone, keyboard, focus, labels, errors, contrast, reduced motion, and assistive-technology semantics.</x:v>
      </x:c>
    </x:row>
    <x:row r="19" ht="64" customHeight="1">
      <x:c r="A19" s="20" t="str">
        <x:v>Global</x:v>
      </x:c>
      <x:c r="B19" s="20" t="str">
        <x:v>Analytics + business events</x:v>
      </x:c>
      <x:c r="C19" s="20" t="str">
        <x:v>Catalog through confirmation</x:v>
      </x:c>
      <x:c r="D19" s="20" t="str">
        <x:v>Implementation QA</x:v>
      </x:c>
      <x:c r="E19" s="20" t="str">
        <x:v>Search, product view, add to cart, checkout start, purchase, errors, and consent-aware tracking.</x:v>
      </x:c>
    </x:row>
    <x:row r="20" ht="108" customHeight="1">
      <x:c r="A20" s="85" t="str">
        <x:v>Component</x:v>
      </x:c>
      <x:c r="B20" s="85" t="str">
        <x:v>Missing product photo placeholder</x:v>
      </x:c>
      <x:c r="C20" s="85" t="str">
        <x:v>Catalog cards, product galleries, related products, cart items, and store-state examples</x:v>
      </x:c>
      <x:c r="D20" s="85" t="str">
        <x:v>Approved site rule; client sees exact component in Store States v1.5</x:v>
      </x:c>
      <x:c r="E20" s="85" t="str">
        <x:v>Use Rebekah's upright green-and-honey brand mark, warm honey/sage treatment, and 'Product photo coming soon.' Replace it automatically when approved photography arrives. Do not use it for loading, broken-image errors, decorative imagery, or content never intended to have a photo. Build one reusable WordPress component rather than redesigning it page by page.</x:v>
      </x:c>
    </x:row>
  </x:sheetData>
  <x:mergeCells>
    <x:mergeCell ref="A1:E1"/>
    <x:mergeCell ref="A2:E2"/>
  </x:mergeCells>
  <x:dataValidations count="1">
    <x:dataValidation type="list" sqref="A5:A35">
      <x:formula1>"Template,Component,Prototype,Global,Content"</x:formula1>
    </x:dataValidation>
  </x:dataValidations>
  <x:pageMargins left="0.7" right="0.7" top="0.75" bottom="0.75" header="0.3" footer="0.3"/>
  <x:tableParts count="1">
    <x:tablePart xmlns:r="http://schemas.openxmlformats.org/officeDocument/2006/relationships" r:id="R1636eeb0248440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27" hidden="0" customWidth="1"/>
    <x:col min="4" max="4" width="27" hidden="0" customWidth="1"/>
    <x:col min="5" max="5" width="23" hidden="0" customWidth="1"/>
    <x:col min="6" max="6" width="20" hidden="0" customWidth="1"/>
    <x:col min="7" max="7" width="38" hidden="0" customWidth="1"/>
    <x:col min="8" max="8" width="35" hidden="0" customWidth="1"/>
  </x:cols>
  <x:sheetData>
    <x:row r="1" ht="32" customHeight="1">
      <x:c r="A1" s="3" t="str">
        <x:v>Phase Two Product and Content Requirements</x:v>
      </x:c>
    </x:row>
    <x:row r="2" ht="36" customHeight="1">
      <x:c r="A2" s="7" t="str">
        <x:v>Test one prepared product before assuming what Revel/Kosmos transfers or overwrites. Blue Nova audits the 25-product set and sends one consolidated gap list; final product accuracy and permitted claims require Rebekah's approval.</x:v>
      </x:c>
    </x:row>
    <x:row r="3" ht="26" customHeight="1">
      <x:c r="A3" s="9" t="str">
        <x:v>Requirements</x:v>
      </x:c>
      <x:c r="B3" s="13" t="n">
        <x:f>COUNTA(B6:B24)</x:f>
        <x:v>19</x:v>
      </x:c>
      <x:c r="C3" s="9" t="str">
        <x:v>Pending</x:v>
      </x:c>
      <x:c r="D3" s="13" t="n">
        <x:f>COUNTIF(F6:F24,"Pending access")+COUNTIF(F6:F24,"Pending product data")+COUNTIF(F6:F24,"Pending pilot data")+COUNTIF(F6:F24,"Pending sync test")</x:f>
        <x:v>9</x:v>
      </x:c>
      <x:c r="E3" s="9" t="str">
        <x:v>Confirmed</x:v>
      </x:c>
      <x:c r="F3" s="13" t="n">
        <x:f>COUNTIF(F6:F24,"Confirmed")</x:f>
        <x:v>1</x:v>
      </x:c>
      <x:c r="G3" s="9" t="str">
        <x:v>Pilot size</x:v>
      </x:c>
      <x:c r="H3" s="13" t="n">
        <x:v>25</x:v>
      </x:c>
    </x:row>
    <x:row r="5" ht="30" customHeight="1">
      <x:c r="A5" s="17" t="str">
        <x:v>Area</x:v>
      </x:c>
      <x:c r="B5" s="17" t="str">
        <x:v>Field / Asset</x:v>
      </x:c>
      <x:c r="C5" s="17" t="str">
        <x:v>System of Record</x:v>
      </x:c>
      <x:c r="D5" s="17" t="str">
        <x:v>Required For</x:v>
      </x:c>
      <x:c r="E5" s="17" t="str">
        <x:v>Owner</x:v>
      </x:c>
      <x:c r="F5" s="17" t="str">
        <x:v>Status</x:v>
      </x:c>
      <x:c r="G5" s="17" t="str">
        <x:v>Validation / Acceptance</x:v>
      </x:c>
      <x:c r="H5" s="17" t="str">
        <x:v>Notes</x:v>
      </x:c>
    </x:row>
    <x:row r="6" ht="62" customHeight="1">
      <x:c r="A6" s="20" t="str">
        <x:v>Eligibility</x:v>
      </x:c>
      <x:c r="B6" s="20" t="str">
        <x:v>Active + Display on online and 3rd party</x:v>
      </x:c>
      <x:c r="C6" s="20" t="str">
        <x:v>Revel</x:v>
      </x:c>
      <x:c r="D6" s="20" t="str">
        <x:v>Synchronization</x:v>
      </x:c>
      <x:c r="E6" s="20" t="str">
        <x:v>Rebekah / Mark</x:v>
      </x:c>
      <x:c r="F6" s="32" t="str">
        <x:v>Confirmed</x:v>
      </x:c>
      <x:c r="G6" s="20" t="str">
        <x:v>All 25 export rows show Active = Yes and Display on online/third-party = Yes.</x:v>
      </x:c>
      <x:c r="H6" s="20" t="str">
        <x:v>They are eligible to pull; the first Kosmos test still must prove that all 25 arrive.</x:v>
      </x:c>
    </x:row>
    <x:row r="7" ht="62" customHeight="1">
      <x:c r="A7" s="20" t="str">
        <x:v>Identity</x:v>
      </x:c>
      <x:c r="B7" s="20" t="str">
        <x:v>Customer-friendly product name</x:v>
      </x:c>
      <x:c r="C7" s="20" t="str">
        <x:v>Revel</x:v>
      </x:c>
      <x:c r="D7" s="20" t="str">
        <x:v>Catalog and product page</x:v>
      </x:c>
      <x:c r="E7" s="20" t="str">
        <x:v>Rebekah / Mark</x:v>
      </x:c>
      <x:c r="F7" s="30" t="str">
        <x:v>In progress</x:v>
      </x:c>
      <x:c r="G7" s="20" t="str">
        <x:v>All 25 names are present; customer-facing capitalization and wording still need review.</x:v>
      </x:c>
      <x:c r="H7" s="20" t="str">
        <x:v>The export uses register-style, mostly all-capital names.</x:v>
      </x:c>
    </x:row>
    <x:row r="8" ht="62" customHeight="1">
      <x:c r="A8" s="20" t="str">
        <x:v>Identity</x:v>
      </x:c>
      <x:c r="B8" s="20" t="str">
        <x:v>Unique SKU / barcode / UPC</x:v>
      </x:c>
      <x:c r="C8" s="20" t="str">
        <x:v>Revel</x:v>
      </x:c>
      <x:c r="D8" s="20" t="str">
        <x:v>Mapping and orders</x:v>
      </x:c>
      <x:c r="E8" s="20" t="str">
        <x:v>Rebekah / Mark</x:v>
      </x:c>
      <x:c r="F8" s="30" t="str">
        <x:v>In progress</x:v>
      </x:c>
      <x:c r="G8" s="20" t="str">
        <x:v>All 25 have distinct barcodes, but the SKU column is blank; confirm the integration key.</x:v>
      </x:c>
      <x:c r="H8" s="20" t="str">
        <x:v>Do not assume a blank SKU is acceptable until the first Kosmos mapping test.</x:v>
      </x:c>
    </x:row>
    <x:row r="9" ht="62" customHeight="1">
      <x:c r="A9" s="20" t="str">
        <x:v>Commerce</x:v>
      </x:c>
      <x:c r="B9" s="20" t="str">
        <x:v>Current selling price</x:v>
      </x:c>
      <x:c r="C9" s="20" t="str">
        <x:v>Revel</x:v>
      </x:c>
      <x:c r="D9" s="20" t="str">
        <x:v>Product, cart, checkout</x:v>
      </x:c>
      <x:c r="E9" s="20" t="str">
        <x:v>Rebekah / Mark</x:v>
      </x:c>
      <x:c r="F9" s="30" t="str">
        <x:v>In progress</x:v>
      </x:c>
      <x:c r="G9" s="20" t="str">
        <x:v>All 25 prices are present in the export and must match after synchronization.</x:v>
      </x:c>
      <x:c r="H9" s="20" t="str">
        <x:v>Verify with the first pull and one update test.</x:v>
      </x:c>
    </x:row>
    <x:row r="10" ht="62" customHeight="1">
      <x:c r="A10" s="20" t="str">
        <x:v>Commerce</x:v>
      </x:c>
      <x:c r="B10" s="20" t="str">
        <x:v>Clarkston inventory + stock status</x:v>
      </x:c>
      <x:c r="C10" s="20" t="str">
        <x:v>Revel</x:v>
      </x:c>
      <x:c r="D10" s="20" t="str">
        <x:v>Availability and orders</x:v>
      </x:c>
      <x:c r="E10" s="20" t="str">
        <x:v>Rebekah / Mark</x:v>
      </x:c>
      <x:c r="F10" s="20" t="str">
        <x:v>Pending product data</x:v>
      </x:c>
      <x:c r="G10" s="20" t="str">
        <x:v>Nonnegative quantity; order reduces Clarkston only.</x:v>
      </x:c>
      <x:c r="H10" s="20" t="str">
        <x:v>Clarkston inventory quantities and stock status are not included in this export.</x:v>
      </x:c>
    </x:row>
    <x:row r="11" ht="72" customHeight="1">
      <x:c r="A11" s="20" t="str">
        <x:v>Shipping</x:v>
      </x:c>
      <x:c r="B11" s="20" t="str">
        <x:v>Accurate weight; dimensions for exceptions</x:v>
      </x:c>
      <x:c r="C11" s="20" t="str">
        <x:v>Revel if supported; otherwise WooCommerce</x:v>
      </x:c>
      <x:c r="D11" s="20" t="str">
        <x:v>USPS live rates</x:v>
      </x:c>
      <x:c r="E11" s="20" t="str">
        <x:v>Rebekah / Mark</x:v>
      </x:c>
      <x:c r="F11" s="20" t="str">
        <x:v>Pending product data</x:v>
      </x:c>
      <x:c r="G11" s="20" t="str">
        <x:v>Representative carts return valid rates without relying on one unverified live weight.</x:v>
      </x:c>
      <x:c r="H11" s="20" t="str">
        <x:v>No weight field appears in the export. A staging-only placeholder may be used; live rates require verified product weights.</x:v>
      </x:c>
    </x:row>
    <x:row r="12" ht="62" customHeight="1">
      <x:c r="A12" s="20" t="str">
        <x:v>Taxonomy</x:v>
      </x:c>
      <x:c r="B12" s="20" t="str">
        <x:v>Operational category</x:v>
      </x:c>
      <x:c r="C12" s="20" t="str">
        <x:v>Revel + Kosmos mapping</x:v>
      </x:c>
      <x:c r="D12" s="20" t="str">
        <x:v>Import structure</x:v>
      </x:c>
      <x:c r="E12" s="20" t="str">
        <x:v>Rebekah / Blue Nova</x:v>
      </x:c>
      <x:c r="F12" s="30" t="str">
        <x:v>In progress</x:v>
      </x:c>
      <x:c r="G12" s="20" t="str">
        <x:v>Class, category, and subcategory are present for all 25; map them after the first pull.</x:v>
      </x:c>
      <x:c r="H12" s="20" t="str">
        <x:v>Website categories may be simplified after import.</x:v>
      </x:c>
    </x:row>
    <x:row r="13" ht="62" customHeight="1">
      <x:c r="A13" s="20" t="str">
        <x:v>Taxonomy</x:v>
      </x:c>
      <x:c r="B13" s="20" t="str">
        <x:v>Brand / manufacturer</x:v>
      </x:c>
      <x:c r="C13" s="20" t="str">
        <x:v>Revel when supported</x:v>
      </x:c>
      <x:c r="D13" s="20" t="str">
        <x:v>Filters and product detail</x:v>
      </x:c>
      <x:c r="E13" s="20" t="str">
        <x:v>Rebekah / Mark</x:v>
      </x:c>
      <x:c r="F13" s="30" t="str">
        <x:v>In progress</x:v>
      </x:c>
      <x:c r="G13" s="20" t="str">
        <x:v>Vendor is Rebekahs Private Label for all 25; confirm the customer-facing brand label.</x:v>
      </x:c>
      <x:c r="H13" s="20" t="str">
        <x:v>Test whether vendor/brand transfers through Kosmos.</x:v>
      </x:c>
    </x:row>
    <x:row r="14" ht="62" customHeight="1">
      <x:c r="A14" s="20" t="str">
        <x:v>Variations</x:v>
      </x:c>
      <x:c r="B14" s="20" t="str">
        <x:v>Parent, options, SKUs, prices, inventory</x:v>
      </x:c>
      <x:c r="C14" s="20" t="str">
        <x:v>Revel</x:v>
      </x:c>
      <x:c r="D14" s="20" t="str">
        <x:v>Variable product page</x:v>
      </x:c>
      <x:c r="E14" s="20" t="str">
        <x:v>Rebekah / Mark</x:v>
      </x:c>
      <x:c r="F14" s="20" t="str">
        <x:v>Pending product data</x:v>
      </x:c>
      <x:c r="G14" s="20" t="str">
        <x:v>Every combination maps and unavailable choices behave correctly.</x:v>
      </x:c>
      <x:c r="H14" s="20" t="str">
        <x:v>One variation example required.</x:v>
      </x:c>
    </x:row>
    <x:row r="15" ht="62" customHeight="1">
      <x:c r="A15" s="20" t="str">
        <x:v>Media</x:v>
      </x:c>
      <x:c r="B15" s="20" t="str">
        <x:v>Primary and gallery images</x:v>
      </x:c>
      <x:c r="C15" s="20" t="str">
        <x:v>WordPress after ownership test</x:v>
      </x:c>
      <x:c r="D15" s="20" t="str">
        <x:v>Product presentation</x:v>
      </x:c>
      <x:c r="E15" s="20" t="str">
        <x:v>Blue Nova / Rebekah</x:v>
      </x:c>
      <x:c r="F15" s="20" t="str">
        <x:v>Pending sync test</x:v>
      </x:c>
      <x:c r="G15" s="20" t="str">
        <x:v>Approved, high quality, correct product, usable alt text.</x:v>
      </x:c>
      <x:c r="H15" s="20" t="str">
        <x:v>The export contains no product-image fields. Todd approved the catalog v1.8 treatment as the sitewide rule: the upright Rebekah green-and-honey mark, warm honey/sage treatment, and 'Product photo coming soon.' Use it only for genuine product-photo slots without approved photography; replace it automatically when approved photography arrives. Real photography still requires source confirmation and acceptance.</x:v>
      </x:c>
    </x:row>
    <x:row r="16" ht="72" customHeight="1">
      <x:c r="A16" s="20" t="str">
        <x:v>Content</x:v>
      </x:c>
      <x:c r="B16" s="20" t="str">
        <x:v>Customer-facing description</x:v>
      </x:c>
      <x:c r="C16" s="20" t="str">
        <x:v>WordPress after ownership test</x:v>
      </x:c>
      <x:c r="D16" s="20" t="str">
        <x:v>Product detail and SEO</x:v>
      </x:c>
      <x:c r="E16" s="20" t="str">
        <x:v>Blue Nova / Rebekah</x:v>
      </x:c>
      <x:c r="F16" s="20" t="str">
        <x:v>Pending product data</x:v>
      </x:c>
      <x:c r="G16" s="20" t="str">
        <x:v>The Product Description field is blank for all 25 products.</x:v>
      </x:c>
      <x:c r="H16" s="20" t="str">
        <x:v>Add approved customer-facing copy only after confirming field ownership and overwrite behavior.</x:v>
      </x:c>
    </x:row>
    <x:row r="17" ht="62" customHeight="1">
      <x:c r="A17" s="20" t="str">
        <x:v>Compliance</x:v>
      </x:c>
      <x:c r="B17" s="20" t="str">
        <x:v>Ingredients and allergen information</x:v>
      </x:c>
      <x:c r="C17" s="20" t="str">
        <x:v>WordPress / approved source</x:v>
      </x:c>
      <x:c r="D17" s="20" t="str">
        <x:v>Product detail</x:v>
      </x:c>
      <x:c r="E17" s="20" t="str">
        <x:v>Blue Nova / Rebekah</x:v>
      </x:c>
      <x:c r="F17" s="20" t="str">
        <x:v>Pending product data</x:v>
      </x:c>
      <x:c r="G17" s="20" t="str">
        <x:v>Matches approved label/source.</x:v>
      </x:c>
      <x:c r="H17" s="20" t="str">
        <x:v>Where applicable.</x:v>
      </x:c>
    </x:row>
    <x:row r="18" ht="24" hidden="0" customHeight="1">
      <x:c r="A18" s="20" t="str">
        <x:v>Compliance</x:v>
      </x:c>
      <x:c r="B18" s="20" t="str">
        <x:v>Directions and serving information</x:v>
      </x:c>
      <x:c r="C18" s="20" t="str">
        <x:v>WordPress from approved label, manufacturer, or supplier source</x:v>
      </x:c>
      <x:c r="D18" s="20" t="str">
        <x:v>Product detail when applicable</x:v>
      </x:c>
      <x:c r="E18" s="20" t="str">
        <x:v>Blue Nova / Rebekah</x:v>
      </x:c>
      <x:c r="F18" s="20" t="str">
        <x:v>Pending source validation</x:v>
      </x:c>
      <x:c r="G18" s="20" t="str">
        <x:v>Publish only when verified source information is available; otherwise omit the section.</x:v>
      </x:c>
      <x:c r="H18" s="20" t="str">
        <x:v>No invented guidance. Display as a collapsed Directions &amp; Warnings disclosure when applicable.</x:v>
      </x:c>
    </x:row>
    <x:row r="19" ht="15" hidden="0" customHeight="1">
      <x:c r="A19" s="20" t="str">
        <x:v>Compliance</x:v>
      </x:c>
      <x:c r="B19" s="20" t="str">
        <x:v>Supplement Facts / required label details</x:v>
      </x:c>
      <x:c r="C19" s="20" t="str">
        <x:v>WordPress / approved source</x:v>
      </x:c>
      <x:c r="D19" s="20" t="str">
        <x:v>Product detail</x:v>
      </x:c>
      <x:c r="E19" s="20" t="str">
        <x:v>Blue Nova / Rebekah</x:v>
      </x:c>
      <x:c r="F19" s="20" t="str">
        <x:v>Pending product data</x:v>
      </x:c>
      <x:c r="G19" s="20" t="str">
        <x:v>Readable and accurate.</x:v>
      </x:c>
      <x:c r="H19" s="20" t="str">
        <x:v>Use approved assets/data.</x:v>
      </x:c>
    </x:row>
    <x:row r="20" ht="36" hidden="0" customHeight="1">
      <x:c r="A20" s="20" t="str">
        <x:v>Compliance</x:v>
      </x:c>
      <x:c r="B20" s="20" t="str">
        <x:v>Warnings, restrictions, shipping eligibility</x:v>
      </x:c>
      <x:c r="C20" s="20" t="str">
        <x:v>WordPress / Revel flag / approved source</x:v>
      </x:c>
      <x:c r="D20" s="20" t="str">
        <x:v>Product and checkout when applicable</x:v>
      </x:c>
      <x:c r="E20" s="20" t="str">
        <x:v>Rebekah / Blue Nova</x:v>
      </x:c>
      <x:c r="F20" s="20" t="str">
        <x:v>Pending source validation</x:v>
      </x:c>
      <x:c r="G20" s="20" t="str">
        <x:v>Verified product-specific warnings and restrictions are visible where they apply and enforced when needed.</x:v>
      </x:c>
      <x:c r="H20" s="20" t="str">
        <x:v>Do not show a generic warning block on every product; omit it when no verified product-specific content exists.</x:v>
      </x:c>
    </x:row>
    <x:row r="21" ht="62" customHeight="1">
      <x:c r="A21" s="20" t="str">
        <x:v>Merchandising</x:v>
      </x:c>
      <x:c r="B21" s="20" t="str">
        <x:v>Website categories, goals, collections, filters</x:v>
      </x:c>
      <x:c r="C21" s="20" t="str">
        <x:v>WordPress</x:v>
      </x:c>
      <x:c r="D21" s="20" t="str">
        <x:v>Store home and catalog</x:v>
      </x:c>
      <x:c r="E21" s="20" t="str">
        <x:v>Blue Nova / Rebekah</x:v>
      </x:c>
      <x:c r="F21" s="20" t="str">
        <x:v>Pending pilot data</x:v>
      </x:c>
      <x:c r="G21" s="20" t="str">
        <x:v>Useful, nonduplicative, supported by the pilot catalog.</x:v>
      </x:c>
      <x:c r="H21" s="20" t="str">
        <x:v>Provisional until 25 products are visible.</x:v>
      </x:c>
    </x:row>
    <x:row r="22" ht="62" customHeight="1">
      <x:c r="A22" s="20" t="str">
        <x:v>SEO</x:v>
      </x:c>
      <x:c r="B22" s="20" t="str">
        <x:v>SEO title, meta, product schema, image alt text</x:v>
      </x:c>
      <x:c r="C22" s="20" t="str">
        <x:v>WordPress</x:v>
      </x:c>
      <x:c r="D22" s="20" t="str">
        <x:v>Search visibility</x:v>
      </x:c>
      <x:c r="E22" s="20" t="str">
        <x:v>Blue Nova</x:v>
      </x:c>
      <x:c r="F22" s="20" t="str">
        <x:v>Not started</x:v>
      </x:c>
      <x:c r="G22" s="20" t="str">
        <x:v>Unique, accurate, valid, indexation rules followed.</x:v>
      </x:c>
      <x:c r="H22" s="20" t="str">
        <x:v>Complete after final content.</x:v>
      </x:c>
    </x:row>
    <x:row r="23" ht="62" customHeight="1">
      <x:c r="A23" s="20" t="str">
        <x:v>Merchandising</x:v>
      </x:c>
      <x:c r="B23" s="20" t="str">
        <x:v>Related products and collection rules</x:v>
      </x:c>
      <x:c r="C23" s="20" t="str">
        <x:v>WordPress</x:v>
      </x:c>
      <x:c r="D23" s="20" t="str">
        <x:v>Product detail</x:v>
      </x:c>
      <x:c r="E23" s="20" t="str">
        <x:v>Blue Nova / Rebekah</x:v>
      </x:c>
      <x:c r="F23" s="20" t="str">
        <x:v>Pending pilot data</x:v>
      </x:c>
      <x:c r="G23" s="20" t="str">
        <x:v>Relevant and available; no unsupported automation assumptions.</x:v>
      </x:c>
      <x:c r="H23" s="20" t="str">
        <x:v>Approve after taxonomy.</x:v>
      </x:c>
    </x:row>
    <x:row r="24" ht="62" customHeight="1">
      <x:c r="A24" s="20" t="str">
        <x:v>Approval</x:v>
      </x:c>
      <x:c r="B24" s="20" t="str">
        <x:v>Final 25-product SKU/name list and content gaps</x:v>
      </x:c>
      <x:c r="C24" s="20" t="str">
        <x:v>Reconciled pilot record</x:v>
      </x:c>
      <x:c r="D24" s="20" t="str">
        <x:v>Pilot approval</x:v>
      </x:c>
      <x:c r="E24" s="20" t="str">
        <x:v>Blue Nova / Rebekah</x:v>
      </x:c>
      <x:c r="F24" s="30" t="str">
        <x:v>In progress</x:v>
      </x:c>
      <x:c r="G24" s="20" t="str">
        <x:v>The exact 25 are saved locally; all are active/online, with remaining gaps tracked in this sheet.</x:v>
      </x:c>
      <x:c r="H24" s="20" t="str">
        <x:v>Next proof is the first Kosmos pull, not another product-selection request.</x:v>
      </x:c>
    </x:row>
  </x:sheetData>
  <x:mergeCells>
    <x:mergeCell ref="A1:H1"/>
    <x:mergeCell ref="A2:H2"/>
  </x:mergeCells>
  <x:conditionalFormatting sqref="F6:F40">
    <x:cfRule type="containsText" dxfId="5" priority="1" operator="containsText" text="Approved"/>
    <x:cfRule type="containsText" dxfId="6" priority="2" operator="containsText" text="Confirmed"/>
    <x:cfRule type="containsText" dxfId="7" priority="3" operator="containsText" text="In review"/>
    <x:cfRule type="containsText" dxfId="8" priority="4" operator="containsText" text="Needs approval"/>
    <x:cfRule type="beginsWith" dxfId="9" priority="5" operator="beginsWith" text="Pending"/>
  </x:conditionalFormatting>
  <x:dataValidations count="1">
    <x:dataValidation type="list" sqref="F6:F40">
      <x:formula1>"Not started,Pending access,Pending product data,Pending pilot data,Pending sync test,In review,Confirmed"</x:formula1>
    </x:dataValidation>
  </x:dataValidations>
  <x:pageMargins left="0.7" right="0.7" top="0.75" bottom="0.75" header="0.3" footer="0.3"/>
  <x:tableParts count="1">
    <x:tablePart xmlns:r="http://schemas.openxmlformats.org/officeDocument/2006/relationships" r:id="Rcb596118607a44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3" hidden="0" customWidth="1"/>
    <x:col min="4" max="4" width="20" hidden="0" customWidth="1"/>
    <x:col min="5" max="5" width="31" hidden="0" customWidth="1"/>
    <x:col min="6" max="6" width="24" hidden="0" customWidth="1"/>
    <x:col min="7" max="7" width="40" hidden="0" customWidth="1"/>
  </x:cols>
  <x:sheetData>
    <x:row r="1" ht="32" customHeight="1">
      <x:c r="A1" s="3" t="str">
        <x:v>Phase Two Decisions, Access, and Prerequisite Gate</x:v>
      </x:c>
    </x:row>
    <x:row r="2" ht="56" customHeight="1">
      <x:c r="A2" s="7" t="str">
        <x:v>Updated through September 3, 2026. Revel Clarkston console access and the client-owned Kosmos dashboard login are operational. The local pre-staging packet, rollback plan, acceptance test, mockups, and dormant implementation scaffold are prepared. Rebekah's exact Shop/Catalog v1.9 approval remains the start gate; Clover/Fiserv and USPS developer access remain later service-specific test gates.</x:v>
      </x:c>
      <x:c r="B2" s="28"/>
      <x:c r="C2" s="28"/>
      <x:c r="D2" s="28"/>
      <x:c r="E2" s="28"/>
      <x:c r="F2" s="28"/>
      <x:c r="G2" s="28"/>
    </x:row>
    <x:row r="3" ht="26" customHeight="1">
      <x:c r="A3" s="9" t="str">
        <x:v>Tracked</x:v>
      </x:c>
      <x:c r="B3" s="13" t="n">
        <x:f>COUNTA(B6:B28)</x:f>
        <x:v>23</x:v>
      </x:c>
      <x:c r="C3" s="9" t="str">
        <x:v>Confirmed</x:v>
      </x:c>
      <x:c r="D3" s="13" t="n">
        <x:f>COUNTIF(D6:D28,"Confirmed")</x:f>
        <x:v>14</x:v>
      </x:c>
      <x:c r="E3" s="9" t="str">
        <x:v>Needs approval</x:v>
      </x:c>
      <x:c r="F3" s="13" t="n">
        <x:f>COUNTIF(D6:D28,"Needs approval")</x:f>
        <x:v>4</x:v>
      </x:c>
      <x:c r="G3" s="9" t="str">
        <x:v>Current work: local only</x:v>
      </x:c>
    </x:row>
    <x:row r="5" ht="30" customHeight="1">
      <x:c r="A5" s="17" t="str">
        <x:v>Area</x:v>
      </x:c>
      <x:c r="B5" s="17" t="str">
        <x:v>Decision / Access</x:v>
      </x:c>
      <x:c r="C5" s="17" t="str">
        <x:v>Current Direction</x:v>
      </x:c>
      <x:c r="D5" s="17" t="str">
        <x:v>Status</x:v>
      </x:c>
      <x:c r="E5" s="17" t="str">
        <x:v>Needed For</x:v>
      </x:c>
      <x:c r="F5" s="17" t="str">
        <x:v>Owner</x:v>
      </x:c>
      <x:c r="G5" s="17" t="str">
        <x:v>Gate / Next Action</x:v>
      </x:c>
    </x:row>
    <x:row r="6" ht="61" customHeight="1">
      <x:c r="A6" s="20" t="str">
        <x:v>Fulfillment</x:v>
      </x:c>
      <x:c r="B6" s="20" t="str">
        <x:v>Pilot fulfillment location</x:v>
      </x:c>
      <x:c r="C6" s="20" t="str">
        <x:v>Clarkston only</x:v>
      </x:c>
      <x:c r="D6" s="20" t="str">
        <x:v>Confirmed</x:v>
      </x:c>
      <x:c r="E6" s="20" t="str">
        <x:v>Shipping, inventory, order routing</x:v>
      </x:c>
      <x:c r="F6" s="20" t="str">
        <x:v>Rebekah / Blue Nova</x:v>
      </x:c>
      <x:c r="G6" s="20" t="str">
        <x:v>Use Clarkston only.</x:v>
      </x:c>
    </x:row>
    <x:row r="7" ht="61" customHeight="1">
      <x:c r="A7" s="20" t="str">
        <x:v>Fulfillment</x:v>
      </x:c>
      <x:c r="B7" s="20" t="str">
        <x:v>Origin and handling time</x:v>
      </x:c>
      <x:c r="C7" s="20" t="str">
        <x:v>7093 Suite B, Dixie Highway, Clarkston; two business days</x:v>
      </x:c>
      <x:c r="D7" s="20" t="str">
        <x:v>Confirmed</x:v>
      </x:c>
      <x:c r="E7" s="20" t="str">
        <x:v>Rates, policies, notices</x:v>
      </x:c>
      <x:c r="F7" s="20" t="str">
        <x:v>Rebekah</x:v>
      </x:c>
      <x:c r="G7" s="20" t="str">
        <x:v>Use approved handling wording.</x:v>
      </x:c>
    </x:row>
    <x:row r="8" ht="61" customHeight="1">
      <x:c r="A8" s="20" t="str">
        <x:v>Shipping</x:v>
      </x:c>
      <x:c r="B8" s="20" t="str">
        <x:v>Service region</x:v>
      </x:c>
      <x:c r="C8" s="20" t="str">
        <x:v>Continental United States only</x:v>
      </x:c>
      <x:c r="D8" s="20" t="str">
        <x:v>Confirmed</x:v>
      </x:c>
      <x:c r="E8" s="20" t="str">
        <x:v>Store notice and checkout</x:v>
      </x:c>
      <x:c r="F8" s="20" t="str">
        <x:v>Rebekah</x:v>
      </x:c>
      <x:c r="G8" s="20" t="str">
        <x:v>No Alaska, Hawaii, or international claims.</x:v>
      </x:c>
    </x:row>
    <x:row r="9" ht="61" customHeight="1">
      <x:c r="A9" s="20" t="str">
        <x:v>Shipping</x:v>
      </x:c>
      <x:c r="B9" s="20" t="str">
        <x:v>Rate method</x:v>
      </x:c>
      <x:c r="C9" s="20" t="str">
        <x:v>USPS live address-dependent rates</x:v>
      </x:c>
      <x:c r="D9" s="20" t="str">
        <x:v>Confirmed</x:v>
      </x:c>
      <x:c r="E9" s="20" t="str">
        <x:v>Checkout implementation</x:v>
      </x:c>
      <x:c r="F9" s="20" t="str">
        <x:v>Rebekah / Blue Nova</x:v>
      </x:c>
      <x:c r="G9" s="20" t="str">
        <x:v>No free-shipping promise in mockups.</x:v>
      </x:c>
    </x:row>
    <x:row r="10" ht="61" customHeight="1">
      <x:c r="A10" s="20" t="str">
        <x:v>Shipping</x:v>
      </x:c>
      <x:c r="B10" s="20" t="str">
        <x:v>PO boxes</x:v>
      </x:c>
      <x:c r="C10" s="20" t="str">
        <x:v>Do not allow PO boxes</x:v>
      </x:c>
      <x:c r="D10" s="23" t="str">
        <x:v>Confirmed</x:v>
      </x:c>
      <x:c r="E10" s="20" t="str">
        <x:v>Checkout and policy</x:v>
      </x:c>
      <x:c r="F10" s="20" t="str">
        <x:v>Rebekah</x:v>
      </x:c>
      <x:c r="G10" s="20" t="str">
        <x:v>Add checkout validation and matching policy wording.</x:v>
      </x:c>
    </x:row>
    <x:row r="11" ht="61" customHeight="1">
      <x:c r="A11" s="20" t="str">
        <x:v>Shipping</x:v>
      </x:c>
      <x:c r="B11" s="20" t="str">
        <x:v>Known special-handling or nonmailable items</x:v>
      </x:c>
      <x:c r="C11" s="20" t="str">
        <x:v>Routine products assumed shippable; exceptions unknown</x:v>
      </x:c>
      <x:c r="D11" s="20" t="str">
        <x:v>Needs approval</x:v>
      </x:c>
      <x:c r="E11" s="20" t="str">
        <x:v>Product restrictions and rates</x:v>
      </x:c>
      <x:c r="F11" s="20" t="str">
        <x:v>Rebekah / Mark</x:v>
      </x:c>
      <x:c r="G11" s="20" t="str">
        <x:v>Flag known exceptions during pilot selection.</x:v>
      </x:c>
    </x:row>
    <x:row r="12" ht="48" hidden="0" customHeight="1">
      <x:c r="A12" s="20" t="str">
        <x:v>Accounts</x:v>
      </x:c>
      <x:c r="B12" s="20" t="str">
        <x:v>Guest checkout and accounts</x:v>
      </x:c>
      <x:c r="C12" s="20" t="str">
        <x:v>Guest checkout allowed; optional customer accounts use standard email/password access; no customer 2FA; staff/admin backend protection is separate</x:v>
      </x:c>
      <x:c r="D12" s="23" t="str">
        <x:v>Confirmed</x:v>
      </x:c>
      <x:c r="E12" s="20" t="str">
        <x:v>Checkout, account system, security, and training</x:v>
      </x:c>
      <x:c r="F12" s="20" t="str">
        <x:v>Rebekah / Blue Nova</x:v>
      </x:c>
      <x:c r="G12" s="20" t="str">
        <x:v>Configure and test guest checkout, optional accounts, password reset, email delivery, consent, and privacy on staging. Configure staff/administrator backend protection separately from the customer flow.</x:v>
      </x:c>
    </x:row>
    <x:row r="13" ht="61" customHeight="1">
      <x:c r="A13" s="20" t="str">
        <x:v>Inventory</x:v>
      </x:c>
      <x:c r="B13" s="20" t="str">
        <x:v>Backorders</x:v>
      </x:c>
      <x:c r="C13" s="20" t="str">
        <x:v>Off</x:v>
      </x:c>
      <x:c r="D13" s="23" t="str">
        <x:v>Confirmed</x:v>
      </x:c>
      <x:c r="E13" s="20" t="str">
        <x:v>Product/cart behavior</x:v>
      </x:c>
      <x:c r="F13" s="20" t="str">
        <x:v>Rebekah / Blue Nova</x:v>
      </x:c>
      <x:c r="G13" s="20" t="str">
        <x:v>Configure and verify with the first synchronized order.</x:v>
      </x:c>
    </x:row>
    <x:row r="14" ht="61" customHeight="1">
      <x:c r="A14" s="20" t="str">
        <x:v>Inventory</x:v>
      </x:c>
      <x:c r="B14" s="20" t="str">
        <x:v>Safety buffer</x:v>
      </x:c>
      <x:c r="C14" s="20" t="str">
        <x:v>Hold back one unit unless sync testing supports removal</x:v>
      </x:c>
      <x:c r="D14" s="23" t="str">
        <x:v>Confirmed</x:v>
      </x:c>
      <x:c r="E14" s="20" t="str">
        <x:v>Oversell protection</x:v>
      </x:c>
      <x:c r="F14" s="20" t="str">
        <x:v>Rebekah / Blue Nova</x:v>
      </x:c>
      <x:c r="G14" s="20" t="str">
        <x:v>Measure sync timing during the pilot before changing the buffer.</x:v>
      </x:c>
    </x:row>
    <x:row r="15" ht="61" customHeight="1">
      <x:c r="A15" s="20" t="str">
        <x:v>Promotions</x:v>
      </x:c>
      <x:c r="B15" s="20" t="str">
        <x:v>Coupons, gift certificates, store credit, loyalty</x:v>
      </x:c>
      <x:c r="C15" s="20" t="str">
        <x:v>Excluded unless specifically approved</x:v>
      </x:c>
      <x:c r="D15" s="20" t="str">
        <x:v>Confirmed</x:v>
      </x:c>
      <x:c r="E15" s="20" t="str">
        <x:v>Pilot scope</x:v>
      </x:c>
      <x:c r="F15" s="20" t="str">
        <x:v>Rebekah</x:v>
      </x:c>
      <x:c r="G15" s="20" t="str">
        <x:v>Keep out of design and build.</x:v>
      </x:c>
    </x:row>
    <x:row r="16" ht="61" customHeight="1">
      <x:c r="A16" s="20" t="str">
        <x:v>Merchandising</x:v>
      </x:c>
      <x:c r="B16" s="20" t="str">
        <x:v>Product reviews and wishlist</x:v>
      </x:c>
      <x:c r="C16" s="20" t="str">
        <x:v>Excluded</x:v>
      </x:c>
      <x:c r="D16" s="20" t="str">
        <x:v>Confirmed</x:v>
      </x:c>
      <x:c r="E16" s="20" t="str">
        <x:v>Catalog and products</x:v>
      </x:c>
      <x:c r="F16" s="20" t="str">
        <x:v>Rebekah / Blue Nova</x:v>
      </x:c>
      <x:c r="G16" s="20" t="str">
        <x:v>Do not show controls or ratings.</x:v>
      </x:c>
    </x:row>
    <x:row r="17" ht="61" customHeight="1">
      <x:c r="A17" s="20" t="str">
        <x:v>Tax</x:v>
      </x:c>
      <x:c r="B17" s="20" t="str">
        <x:v>Tax rules and tax on shipping</x:v>
      </x:c>
      <x:c r="C17" s="20" t="str">
        <x:v>Treat dietary supplements as Michigan tax-exempt food per client direction</x:v>
      </x:c>
      <x:c r="D17" s="23" t="str">
        <x:v>Confirmed</x:v>
      </x:c>
      <x:c r="E17" s="20" t="str">
        <x:v>Checkout and testing</x:v>
      </x:c>
      <x:c r="F17" s="20" t="str">
        <x:v>Rebekah</x:v>
      </x:c>
      <x:c r="G17" s="20" t="str">
        <x:v>Verify tax and shipping totals with test orders before launch.</x:v>
      </x:c>
    </x:row>
    <x:row r="18" ht="61" customHeight="1">
      <x:c r="A18" s="20" t="str">
        <x:v>Payments</x:v>
      </x:c>
      <x:c r="B18" s="20" t="str">
        <x:v>Final Fiserv/Clover gateway product</x:v>
      </x:c>
      <x:c r="C18" s="20" t="str">
        <x:v>Clover Ecommerce/Clover Payments likely</x:v>
      </x:c>
      <x:c r="D18" s="20" t="str">
        <x:v>Pending decision</x:v>
      </x:c>
      <x:c r="E18" s="20" t="str">
        <x:v>Payment configuration</x:v>
      </x:c>
      <x:c r="F18" s="20" t="str">
        <x:v>Rebekah</x:v>
      </x:c>
      <x:c r="G18" s="20" t="str">
        <x:v>Confirm actual gateway before connection.</x:v>
      </x:c>
    </x:row>
    <x:row r="19" ht="61" customHeight="1">
      <x:c r="A19" s="20" t="str">
        <x:v>Operations</x:v>
      </x:c>
      <x:c r="B19" s="20" t="str">
        <x:v>Order/customer-service email</x:v>
      </x:c>
      <x:c r="C19" s="20" t="str">
        <x:v>rebekahspureliving@gmail.com and clarkstonpurchaser@rebekahspureliving.com</x:v>
      </x:c>
      <x:c r="D19" s="23" t="str">
        <x:v>Confirmed</x:v>
      </x:c>
      <x:c r="E19" s="20" t="str">
        <x:v>Notifications and customer help</x:v>
      </x:c>
      <x:c r="F19" s="20" t="str">
        <x:v>Rebekah</x:v>
      </x:c>
      <x:c r="G19" s="20" t="str">
        <x:v>Configure both recipients and test every required notification.</x:v>
      </x:c>
    </x:row>
    <x:row r="20" ht="61" customHeight="1">
      <x:c r="A20" s="20" t="str">
        <x:v>Operations</x:v>
      </x:c>
      <x:c r="B20" s="20" t="str">
        <x:v>Return address, cancellation, damage/loss process</x:v>
      </x:c>
      <x:c r="C20" s="20" t="str">
        <x:v>Existing Returns policy needs ecommerce clarification</x:v>
      </x:c>
      <x:c r="D20" s="20" t="str">
        <x:v>Needs approval</x:v>
      </x:c>
      <x:c r="E20" s="20" t="str">
        <x:v>Policies, emails, fulfillment</x:v>
      </x:c>
      <x:c r="F20" s="20" t="str">
        <x:v>Rebekah</x:v>
      </x:c>
      <x:c r="G20" s="20" t="str">
        <x:v>Finalize before public launch.</x:v>
      </x:c>
    </x:row>
    <x:row r="21" ht="61" customHeight="1">
      <x:c r="A21" s="20" t="str">
        <x:v>Policies</x:v>
      </x:c>
      <x:c r="B21" s="20" t="str">
        <x:v>Shipping, Returns, Terms, Privacy, Disclaimer</x:v>
      </x:c>
      <x:c r="C21" s="20" t="str">
        <x:v>Ecommerce updates required</x:v>
      </x:c>
      <x:c r="D21" s="20" t="str">
        <x:v>Needs approval</x:v>
      </x:c>
      <x:c r="E21" s="20" t="str">
        <x:v>Launch readiness</x:v>
      </x:c>
      <x:c r="F21" s="20" t="str">
        <x:v>Rebekah / qualified reviewer</x:v>
      </x:c>
      <x:c r="G21" s="20" t="str">
        <x:v>Approve after operational rules are settled.</x:v>
      </x:c>
    </x:row>
    <x:row r="22" ht="66" customHeight="1">
      <x:c r="A22" s="20" t="str">
        <x:v>Pilot</x:v>
      </x:c>
      <x:c r="B22" s="20" t="str">
        <x:v>Twenty-five representative products</x:v>
      </x:c>
      <x:c r="C22" s="20" t="str">
        <x:v>Mark's 25-product export is saved; all 25 show Active = Yes and online/third-party = Yes</x:v>
      </x:c>
      <x:c r="D22" s="30" t="str">
        <x:v>In progress</x:v>
      </x:c>
      <x:c r="E22" s="20" t="str">
        <x:v>Integration pilot</x:v>
      </x:c>
      <x:c r="F22" s="20" t="str">
        <x:v>Rebekah / Mark</x:v>
      </x:c>
      <x:c r="G22" s="20" t="str">
        <x:v>Run the first Kosmos pull to prove all 25 appear, then reconcile missing SKU, descriptions, weight, inventory, and media.</x:v>
      </x:c>
    </x:row>
    <x:row r="23" ht="62" customHeight="1">
      <x:c r="A23" s="20" t="str">
        <x:v>Access</x:v>
      </x:c>
      <x:c r="B23" s="20" t="str">
        <x:v>Revel administrator/integration access</x:v>
      </x:c>
      <x:c r="C23" s="20" t="str">
        <x:v>Blue Nova's separate user reaches the Rebekah's - Clarkston console and can open Products, Inventory, and Settings; the specific Kosmos/API handshake remains for the one-product proof</x:v>
      </x:c>
      <x:c r="D23" s="25" t="str">
        <x:v>Confirmed</x:v>
      </x:c>
      <x:c r="E23" s="20" t="str">
        <x:v>Product mapping and sync</x:v>
      </x:c>
      <x:c r="F23" s="20" t="str">
        <x:v>Blue Nova</x:v>
      </x:c>
      <x:c r="G23" s="20" t="str">
        <x:v>Use the verified Clarkston access during the controlled one-product proof and document the actual handshake and field permissions.</x:v>
      </x:c>
    </x:row>
    <x:row r="24" ht="62" customHeight="1">
      <x:c r="A24" s="20" t="str">
        <x:v>Access</x:v>
      </x:c>
      <x:c r="B24" s="20" t="str">
        <x:v>Client-owned Kosmos account and configuration access</x:v>
      </x:c>
      <x:c r="C24" s="20" t="str">
        <x:v>Client-owned Kosmos dashboard login verified; no synchronization Actions have been created</x:v>
      </x:c>
      <x:c r="D24" s="23" t="str">
        <x:v>Confirmed</x:v>
      </x:c>
      <x:c r="E24" s="20" t="str">
        <x:v>Integration</x:v>
      </x:c>
      <x:c r="F24" s="20" t="str">
        <x:v>Rebekah / Blue Nova</x:v>
      </x:c>
      <x:c r="G24" s="20" t="str">
        <x:v>After client approval and protected staging, Blue Nova creates the WooCommerce key/secret and performs the first connection test.</x:v>
      </x:c>
    </x:row>
    <x:row r="25" ht="62" customHeight="1">
      <x:c r="A25" s="20" t="str">
        <x:v>Access</x:v>
      </x:c>
      <x:c r="B25" s="20" t="str">
        <x:v>USPS account/API and live-rate plugin</x:v>
      </x:c>
      <x:c r="C25" s="20" t="str">
        <x:v>USPS business account exists; developer/API access and plugin setup are not confirmed</x:v>
      </x:c>
      <x:c r="D25" s="25" t="str">
        <x:v>Pending access</x:v>
      </x:c>
      <x:c r="E25" s="20" t="str">
        <x:v>Live-rate testing</x:v>
      </x:c>
      <x:c r="F25" s="20" t="str">
        <x:v>Rebekah / Blue Nova</x:v>
      </x:c>
      <x:c r="G25" s="20" t="str">
        <x:v>Authorize USPS API access and test the free live-rate plugin before any paid upgrade.</x:v>
      </x:c>
    </x:row>
    <x:row r="26" ht="61" customHeight="1">
      <x:c r="A26" s="20" t="str">
        <x:v>Access</x:v>
      </x:c>
      <x:c r="B26" s="20" t="str">
        <x:v>Fiserv/Clover integration access</x:v>
      </x:c>
      <x:c r="C26" s="20" t="str">
        <x:v>Not available</x:v>
      </x:c>
      <x:c r="D26" s="20" t="str">
        <x:v>Pending access</x:v>
      </x:c>
      <x:c r="E26" s="20" t="str">
        <x:v>Payment testing</x:v>
      </x:c>
      <x:c r="F26" s="20" t="str">
        <x:v>Rebekah / Blue Nova</x:v>
      </x:c>
      <x:c r="G26" s="20" t="str">
        <x:v>Provide secure delegated/test access when merchant product is ready.</x:v>
      </x:c>
    </x:row>
    <x:row r="27" ht="61" customHeight="1">
      <x:c r="A27" s="20" t="str">
        <x:v>Environment</x:v>
      </x:c>
      <x:c r="B27" s="20" t="str">
        <x:v>Protected staging, restore point, and temporary server increase</x:v>
      </x:c>
      <x:c r="C27" s="20" t="str">
        <x:v>Local staging packet, rollback plan, acceptance test, and dormant implementation scaffold are complete; no independent staging exists yet</x:v>
      </x:c>
      <x:c r="D27" s="20" t="str">
        <x:v>Future gate</x:v>
      </x:c>
      <x:c r="E27" s="20" t="str">
        <x:v>Implementation and realistic testing</x:v>
      </x:c>
      <x:c r="F27" s="20" t="str">
        <x:v>Blue Nova / Rebekah</x:v>
      </x:c>
      <x:c r="G27" s="20" t="str">
        <x:v>After Rebekah approves Shop/Catalog v1.9 and Todd authorizes the start: upgrade to 4 GB / 2 vCPU, take a fresh restore point, then create and secure the staging clone.</x:v>
      </x:c>
    </x:row>
    <x:row r="28" ht="58" customHeight="1">
      <x:c r="A28" s="20" t="str">
        <x:v>Schedule</x:v>
      </x:c>
      <x:c r="B28" s="20" t="str">
        <x:v>Safe working window</x:v>
      </x:c>
      <x:c r="C28" s="20" t="str">
        <x:v>Awaiting Rebekah's exact Shop/Catalog v1.9 approval and Todd's confirmation of the safe working window</x:v>
      </x:c>
      <x:c r="D28" s="25" t="str">
        <x:v>Needs approval</x:v>
      </x:c>
      <x:c r="E28" s="20" t="str">
        <x:v>Staging, synchronization, and handoff</x:v>
      </x:c>
      <x:c r="F28" s="20" t="str">
        <x:v>Todd / Rebekah</x:v>
      </x:c>
      <x:c r="G28" s="20" t="str">
        <x:v>Confirm the start window immediately after client approval; do not leave active work across a blackout period or weekend.</x:v>
      </x:c>
    </x:row>
  </x:sheetData>
  <x:mergeCells>
    <x:mergeCell ref="A1:G1"/>
    <x:mergeCell ref="A2:G2"/>
  </x:mergeCells>
  <x:conditionalFormatting sqref="D6:D45">
    <x:cfRule type="containsText" dxfId="10" priority="1" operator="containsText" text="Approved"/>
    <x:cfRule type="containsText" dxfId="11" priority="2" operator="containsText" text="Confirmed"/>
    <x:cfRule type="containsText" dxfId="12" priority="3" operator="containsText" text="In review"/>
    <x:cfRule type="containsText" dxfId="13" priority="4" operator="containsText" text="Needs approval"/>
    <x:cfRule type="beginsWith" dxfId="14" priority="5" operator="beginsWith" text="Pending"/>
  </x:conditionalFormatting>
  <x:dataValidations count="1">
    <x:dataValidation type="list" sqref="D6:D45">
      <x:formula1>"Confirmed,Needs approval,Pending decision,Pending access,Pending product data,Future gate"</x:formula1>
    </x:dataValidation>
  </x:dataValidations>
  <x:pageMargins left="0.7" right="0.7" top="0.75" bottom="0.75" header="0.3" footer="0.3"/>
  <x:tableParts count="1">
    <x:tablePart xmlns:r="http://schemas.openxmlformats.org/officeDocument/2006/relationships" r:id="R464a6fcb44174cb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31" hidden="0" customWidth="1"/>
    <x:col min="3" max="3" width="19" hidden="0" customWidth="1"/>
    <x:col min="4" max="4" width="27" hidden="0" customWidth="1"/>
    <x:col min="5" max="5" width="62" hidden="0" customWidth="1"/>
    <x:col min="6" max="6" width="43" hidden="0" customWidth="1"/>
  </x:cols>
  <x:sheetData>
    <x:row r="1" ht="32" customHeight="1">
      <x:c r="A1" s="3" t="str">
        <x:v>Phase Two End-to-End Implementation Plan</x:v>
      </x:c>
    </x:row>
    <x:row r="2" ht="48" customHeight="1">
      <x:c r="A2" s="7" t="str">
        <x:v>All seven exact systems are internally approved. Rebekah approved six on September 2, 2026; exact Shop/Catalog v1.9 now awaits only her confirmation. Local readiness documents and the dormant WooCommerce scaffold remain complete; external and staging work is still separately gated.</x:v>
      </x:c>
      <x:c r="B2" s="28"/>
      <x:c r="C2" s="28"/>
      <x:c r="D2" s="28"/>
      <x:c r="E2" s="28"/>
      <x:c r="F2" s="28"/>
    </x:row>
    <x:row r="4" ht="30" customHeight="1">
      <x:c r="A4" s="17" t="str">
        <x:v>Order</x:v>
      </x:c>
      <x:c r="B4" s="17" t="str">
        <x:v>Phase</x:v>
      </x:c>
      <x:c r="C4" s="17" t="str">
        <x:v>Current / Future</x:v>
      </x:c>
      <x:c r="D4" s="17" t="str">
        <x:v>Primary Owner</x:v>
      </x:c>
      <x:c r="E4" s="17" t="str">
        <x:v>Work</x:v>
      </x:c>
      <x:c r="F4" s="17" t="str">
        <x:v>Required Gate / Output</x:v>
      </x:c>
    </x:row>
    <x:row r="5" ht="60" customHeight="1">
      <x:c r="A5" s="21" t="n">
        <x:v>1</x:v>
      </x:c>
      <x:c r="B5" s="20" t="str">
        <x:v>Approve global commerce add-on</x:v>
      </x:c>
      <x:c r="C5" s="131" t="str">
        <x:v>Client approved</x:v>
      </x:c>
      <x:c r="D5" s="20" t="str">
        <x:v>Blue Nova / Todd</x:v>
      </x:c>
      <x:c r="E5" s="20" t="str">
        <x:v>Exact Header + Footer Ecommerce Add-On v1.5 is internally approved and frozen. No WordPress implementation begins before Rebekah approves this version.</x:v>
      </x:c>
      <x:c r="F5" s="20" t="str">
        <x:v>Exact version approved September 2, 2026</x:v>
      </x:c>
    </x:row>
    <x:row r="6" ht="60" customHeight="1">
      <x:c r="A6" s="21" t="n">
        <x:v>2</x:v>
      </x:c>
      <x:c r="B6" s="20" t="str">
        <x:v>Approve Online Store homepage</x:v>
      </x:c>
      <x:c r="C6" s="131" t="str">
        <x:v>Client approved</x:v>
      </x:c>
      <x:c r="D6" s="20" t="str">
        <x:v>Blue Nova / Todd</x:v>
      </x:c>
      <x:c r="E6" s="20" t="str">
        <x:v>Exact Main Homepage Ecommerce Integration v1.9 is internally approved and frozen. Its Shop Online control routes to the separate store page.</x:v>
      </x:c>
      <x:c r="F6" s="20" t="str">
        <x:v>Exact version approved September 2, 2026</x:v>
      </x:c>
    </x:row>
    <x:row r="7" ht="60" customHeight="1">
      <x:c r="A7" s="21" t="n">
        <x:v>3</x:v>
      </x:c>
      <x:c r="B7" s="20" t="str">
        <x:v>Approve catalog template</x:v>
      </x:c>
      <x:c r="C7" s="133" t="str">
        <x:v>Awaiting client approval</x:v>
      </x:c>
      <x:c r="D7" s="20" t="str">
        <x:v>Blue Nova / Todd</x:v>
      </x:c>
      <x:c r="E7" s="20" t="str">
        <x:v>Exact Shop Homepage + Product Catalog v1.9 was approved by Todd on September 3, 2026 with Rebekah's two expandable filter groups; product mappings remain a later connected-data task.</x:v>
      </x:c>
      <x:c r="F7" s="20" t="str">
        <x:v>Rebekah confirms exact v1.9</x:v>
      </x:c>
    </x:row>
    <x:row r="8" ht="60" customHeight="1">
      <x:c r="A8" s="21" t="n">
        <x:v>4</x:v>
      </x:c>
      <x:c r="B8" s="20" t="str">
        <x:v>Approve product pages</x:v>
      </x:c>
      <x:c r="C8" s="131" t="str">
        <x:v>Client approved</x:v>
      </x:c>
      <x:c r="D8" s="20" t="str">
        <x:v>Blue Nova / Todd</x:v>
      </x:c>
      <x:c r="E8" s="20" t="str">
        <x:v>Exact Product Page Templates v1.7 is internally approved and frozen; connected data and verified source content remain later implementation gates.</x:v>
      </x:c>
      <x:c r="F8" s="20" t="str">
        <x:v>Exact version approved September 2, 2026</x:v>
      </x:c>
    </x:row>
    <x:row r="9" ht="60" customHeight="1">
      <x:c r="A9" s="21" t="n">
        <x:v>5</x:v>
      </x:c>
      <x:c r="B9" s="20" t="str">
        <x:v>Approve purchase path</x:v>
      </x:c>
      <x:c r="C9" s="131" t="str">
        <x:v>Client approved</x:v>
      </x:c>
      <x:c r="D9" s="20" t="str">
        <x:v>Blue Nova / Todd</x:v>
      </x:c>
      <x:c r="E9" s="20" t="str">
        <x:v>Exact Purchase Path v1.6 is internally approved and frozen; payment, shipping, tax, email, and order behavior remain connected-service tests.</x:v>
      </x:c>
      <x:c r="F9" s="20" t="str">
        <x:v>Exact version approved September 2, 2026</x:v>
      </x:c>
    </x:row>
    <x:row r="10" ht="60" hidden="0" customHeight="1">
      <x:c r="A10" s="21" t="n">
        <x:v>6</x:v>
      </x:c>
      <x:c r="B10" s="20" t="str">
        <x:v>Approve account system</x:v>
      </x:c>
      <x:c r="C10" s="131" t="str">
        <x:v>Client approved</x:v>
      </x:c>
      <x:c r="D10" s="20" t="str">
        <x:v>Blue Nova / Todd</x:v>
      </x:c>
      <x:c r="E10" s="20" t="str">
        <x:v>Exact Customer Account System v1.6 is internally approved and frozen with guest checkout, optional accounts, and no customer 2FA.</x:v>
      </x:c>
      <x:c r="F10" s="20" t="str">
        <x:v>Exact version approved September 2, 2026</x:v>
      </x:c>
    </x:row>
    <x:row r="11" ht="60" customHeight="1">
      <x:c r="A11" s="21" t="n">
        <x:v>7</x:v>
      </x:c>
      <x:c r="B11" s="20" t="str">
        <x:v>Approve states + complete design QA</x:v>
      </x:c>
      <x:c r="C11" s="131" t="str">
        <x:v>Client approved</x:v>
      </x:c>
      <x:c r="D11" s="20" t="str">
        <x:v>Blue Nova / Todd / Rebekah</x:v>
      </x:c>
      <x:c r="E11" s="20" t="str">
        <x:v>Exact Store States + Components v1.5 is internally approved and frozen; provider-specific error text remains implementation validation.</x:v>
      </x:c>
      <x:c r="F11" s="20" t="str">
        <x:v>Exact version approved September 2, 2026</x:v>
      </x:c>
    </x:row>
    <x:row r="12" ht="72" customHeight="1">
      <x:c r="A12" s="21" t="n">
        <x:v>8</x:v>
      </x:c>
      <x:c r="B12" s="20" t="str">
        <x:v>Close prerequisite gate</x:v>
      </x:c>
      <x:c r="C12" s="20" t="str">
        <x:v>Future</x:v>
      </x:c>
      <x:c r="D12" s="20" t="str">
        <x:v>Rebekah / Mark / Blue Nova</x:v>
      </x:c>
      <x:c r="E12" s="20" t="str">
        <x:v>Receive Rebekah's exact Shop/Catalog v1.9 approval, confirm the safe working window, and obtain Todd's hosting-scale authorization. Revel and Kosmos access are confirmed.</x:v>
      </x:c>
      <x:c r="F12" s="20" t="str">
        <x:v>Exact client approval and start authorization recorded</x:v>
      </x:c>
    </x:row>
    <x:row r="13" ht="72" customHeight="1">
      <x:c r="A13" s="21" t="n">
        <x:v>9</x:v>
      </x:c>
      <x:c r="B13" s="20" t="str">
        <x:v>Prepare protected staging</x:v>
      </x:c>
      <x:c r="C13" s="20" t="str">
        <x:v>Future</x:v>
      </x:c>
      <x:c r="D13" s="20" t="str">
        <x:v>Blue Nova</x:v>
      </x:c>
      <x:c r="E13" s="20" t="str">
        <x:v>Upgrade hosting to 4 GB / 2 vCPU, take a fresh restore point, create and secure the Cloudways staging clone, prevent indexing/email/payment side effects, and prepare a clean staging catalog while preserving the legacy products.</x:v>
      </x:c>
      <x:c r="F13" s="20" t="str">
        <x:v>Verified safe staging, rollback evidence, and isolated legacy catalog</x:v>
      </x:c>
    </x:row>
    <x:row r="14" ht="72" customHeight="1">
      <x:c r="A14" s="21" t="n">
        <x:v>10</x:v>
      </x:c>
      <x:c r="B14" s="20" t="str">
        <x:v>Prove one product and one action</x:v>
      </x:c>
      <x:c r="C14" s="20" t="str">
        <x:v>Future</x:v>
      </x:c>
      <x:c r="D14" s="20" t="str">
        <x:v>Blue Nova / Kosmos / Revel</x:v>
      </x:c>
      <x:c r="E14" s="20" t="str">
        <x:v>Connect Revel → Kosmos → WooCommerce; test one representative product and document eligibility, identifier, price, inventory, category, weight, variation, content-overwrite, logging, and field-ownership behavior.</x:v>
      </x:c>
      <x:c r="F14" s="20" t="str">
        <x:v>Documented one-product pass and actual mapping ownership</x:v>
      </x:c>
    </x:row>
    <x:row r="15" ht="72" customHeight="1">
      <x:c r="A15" s="21" t="n">
        <x:v>11</x:v>
      </x:c>
      <x:c r="B15" s="20" t="str">
        <x:v>Run 25-product pilot + storefront build</x:v>
      </x:c>
      <x:c r="C15" s="20" t="str">
        <x:v>Future</x:v>
      </x:c>
      <x:c r="D15" s="20" t="str">
        <x:v>Blue Nova / Rebekah / Mark</x:v>
      </x:c>
      <x:c r="E15" s="20" t="str">
        <x:v>If the one-product proof passes, synchronize and reconcile the remaining 24 products, audit content, resolve one consolidated gap list, apply approved templates, and finalize taxonomy/merchandising.</x:v>
      </x:c>
      <x:c r="F15" s="20" t="str">
        <x:v>Reconciled 25-product catalog and approved content</x:v>
      </x:c>
    </x:row>
    <x:row r="16" ht="72" customHeight="1">
      <x:c r="A16" s="21" t="n">
        <x:v>12</x:v>
      </x:c>
      <x:c r="B16" s="20" t="str">
        <x:v>Configure operations and checkout</x:v>
      </x:c>
      <x:c r="C16" s="20" t="str">
        <x:v>Future</x:v>
      </x:c>
      <x:c r="D16" s="20" t="str">
        <x:v>Blue Nova / Rebekah</x:v>
      </x:c>
      <x:c r="E16" s="20" t="str">
        <x:v>Configure approved shipping, tax, accounts, inventory, emails, policies, labels/packages, and fulfillment behavior. Add Clover/Fiserv and USPS live-rate testing only when their separate access is ready.</x:v>
      </x:c>
      <x:c r="F16" s="20" t="str">
        <x:v>Operational configuration complete; service-specific tests documented when available</x:v>
      </x:c>
    </x:row>
    <x:row r="17" ht="72" customHeight="1">
      <x:c r="A17" s="21" t="n">
        <x:v>13</x:v>
      </x:c>
      <x:c r="B17" s="20" t="str">
        <x:v>Acceptance, approval, training, launch</x:v>
      </x:c>
      <x:c r="C17" s="20" t="str">
        <x:v>Future</x:v>
      </x:c>
      <x:c r="D17" s="20" t="str">
        <x:v>Blue Nova / Rebekah</x:v>
      </x:c>
      <x:c r="E17" s="20" t="str">
        <x:v>Pass QA and acceptance, obtain client approval, create and deliver the welcome packet with instructional videos, written guides, support boundaries, and escalation contacts; train designated staff; launch in a controlled window; and monitor stabilization before full-catalog planning.</x:v>
      </x:c>
      <x:c r="F17" s="20" t="str">
        <x:v>All tests pass; client signoff; welcome packet delivered; staff training acknowledged; controlled launch and handoff.</x:v>
      </x:c>
    </x:row>
  </x:sheetData>
  <x:mergeCells>
    <x:mergeCell ref="A1:F1"/>
    <x:mergeCell ref="A2:F2"/>
  </x:mergeCells>
  <x:pageMargins left="0.7" right="0.7" top="0.75" bottom="0.75" header="0.3" footer="0.3"/>
  <x:tableParts count="1">
    <x:tablePart xmlns:r="http://schemas.openxmlformats.org/officeDocument/2006/relationships" r:id="R9e6ecb76ab6d4b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62" hidden="0" customWidth="1"/>
    <x:col min="4" max="4" width="23" hidden="0" customWidth="1"/>
    <x:col min="5" max="5" width="24" hidden="0" customWidth="1"/>
    <x:col min="6" max="6" width="17" hidden="0" customWidth="1"/>
    <x:col min="7" max="7" width="45" hidden="0" customWidth="1"/>
  </x:cols>
  <x:sheetData>
    <x:row r="1" ht="32" customHeight="1">
      <x:c r="A1" s="3" t="str">
        <x:v>Phase Two QA, Acceptance, and Launch Gates</x:v>
      </x:c>
    </x:row>
    <x:row r="2" ht="36" customHeight="1">
      <x:c r="A2" s="7" t="str">
        <x:v>The full catalog and public store remain blocked until every applicable test passes and evidence is recorded. Failed tests return to the responsible implementation phase; they are not waived by visual approval.</x:v>
      </x:c>
    </x:row>
    <x:row r="3" ht="26" customHeight="1">
      <x:c r="A3" s="9" t="str">
        <x:v>Tests</x:v>
      </x:c>
      <x:c r="B3" s="13" t="n">
        <x:f>COUNTA(C6:C33)</x:f>
        <x:v>28</x:v>
      </x:c>
      <x:c r="C3" s="9" t="str">
        <x:v>Passed</x:v>
      </x:c>
      <x:c r="D3" s="13" t="n">
        <x:f>COUNTIF(F6:F33,"Passed")</x:f>
        <x:v>0</x:v>
      </x:c>
      <x:c r="E3" s="9" t="str">
        <x:v>Blocking open</x:v>
      </x:c>
      <x:c r="F3" s="13" t="n">
        <x:f>COUNTIF(F6:F33,"Not started")+COUNTIF(F6:F33,"Failed")</x:f>
        <x:v>28</x:v>
      </x:c>
      <x:c r="G3" s="9" t="str">
        <x:v>Launch requires all applicable tests</x:v>
      </x:c>
    </x:row>
    <x:row r="5" ht="30" customHeight="1">
      <x:c r="A5" s="17" t="str">
        <x:v>#</x:v>
      </x:c>
      <x:c r="B5" s="17" t="str">
        <x:v>Area</x:v>
      </x:c>
      <x:c r="C5" s="17" t="str">
        <x:v>Acceptance Test</x:v>
      </x:c>
      <x:c r="D5" s="17" t="str">
        <x:v>When</x:v>
      </x:c>
      <x:c r="E5" s="17" t="str">
        <x:v>Owner</x:v>
      </x:c>
      <x:c r="F5" s="17" t="str">
        <x:v>Status</x:v>
      </x:c>
      <x:c r="G5" s="17" t="str">
        <x:v>Evidence / Notes</x:v>
      </x:c>
    </x:row>
    <x:row r="6" ht="58" customHeight="1">
      <x:c r="A6" s="21" t="n">
        <x:v>1</x:v>
      </x:c>
      <x:c r="B6" s="20" t="str">
        <x:v>Integration</x:v>
      </x:c>
      <x:c r="C6" s="20" t="str">
        <x:v>Simple product creates and updates correctly.</x:v>
      </x:c>
      <x:c r="D6" s="20" t="str">
        <x:v>One-product proof</x:v>
      </x:c>
      <x:c r="E6" s="20" t="str">
        <x:v>Blue Nova</x:v>
      </x:c>
      <x:c r="F6" s="20" t="str">
        <x:v>Not started</x:v>
      </x:c>
      <x:c r="G6" s="20" t="str"/>
    </x:row>
    <x:row r="7" ht="58" customHeight="1">
      <x:c r="A7" s="21" t="n">
        <x:v>2</x:v>
      </x:c>
      <x:c r="B7" s="20" t="str">
        <x:v>Integration</x:v>
      </x:c>
      <x:c r="C7" s="20" t="str">
        <x:v>Matrix/variation product creates and updates correctly when applicable.</x:v>
      </x:c>
      <x:c r="D7" s="20" t="str">
        <x:v>Pilot</x:v>
      </x:c>
      <x:c r="E7" s="20" t="str">
        <x:v>Blue Nova</x:v>
      </x:c>
      <x:c r="F7" s="20" t="str">
        <x:v>Not started</x:v>
      </x:c>
      <x:c r="G7" s="20" t="str"/>
    </x:row>
    <x:row r="8" ht="58" customHeight="1">
      <x:c r="A8" s="21" t="n">
        <x:v>3</x:v>
      </x:c>
      <x:c r="B8" s="20" t="str">
        <x:v>Integration</x:v>
      </x:c>
      <x:c r="C8" s="20" t="str">
        <x:v>Active and online/third-party flags control website eligibility.</x:v>
      </x:c>
      <x:c r="D8" s="20" t="str">
        <x:v>One-product proof</x:v>
      </x:c>
      <x:c r="E8" s="20" t="str">
        <x:v>Blue Nova / Mark</x:v>
      </x:c>
      <x:c r="F8" s="20" t="str">
        <x:v>Not started</x:v>
      </x:c>
      <x:c r="G8" s="20" t="str"/>
    </x:row>
    <x:row r="9" ht="58" customHeight="1">
      <x:c r="A9" s="21" t="n">
        <x:v>4</x:v>
      </x:c>
      <x:c r="B9" s="20" t="str">
        <x:v>Integration</x:v>
      </x:c>
      <x:c r="C9" s="20" t="str">
        <x:v>SKU, name, price, category, weight, and Clarkston inventory match Revel.</x:v>
      </x:c>
      <x:c r="D9" s="20" t="str">
        <x:v>One-product + pilot</x:v>
      </x:c>
      <x:c r="E9" s="20" t="str">
        <x:v>Blue Nova / Mark</x:v>
      </x:c>
      <x:c r="F9" s="20" t="str">
        <x:v>Not started</x:v>
      </x:c>
      <x:c r="G9" s="20" t="str"/>
    </x:row>
    <x:row r="10" ht="58" customHeight="1">
      <x:c r="A10" s="21" t="n">
        <x:v>5</x:v>
      </x:c>
      <x:c r="B10" s="20" t="str">
        <x:v>Integration</x:v>
      </x:c>
      <x:c r="C10" s="20" t="str">
        <x:v>Images/descriptions follow documented transfer and overwrite ownership.</x:v>
      </x:c>
      <x:c r="D10" s="20" t="str">
        <x:v>One-product proof</x:v>
      </x:c>
      <x:c r="E10" s="20" t="str">
        <x:v>Blue Nova</x:v>
      </x:c>
      <x:c r="F10" s="20" t="str">
        <x:v>Not started</x:v>
      </x:c>
      <x:c r="G10" s="20" t="str"/>
    </x:row>
    <x:row r="11" ht="58" customHeight="1">
      <x:c r="A11" s="21" t="n">
        <x:v>6</x:v>
      </x:c>
      <x:c r="B11" s="20" t="str">
        <x:v>Integration</x:v>
      </x:c>
      <x:c r="C11" s="20" t="str">
        <x:v>Sync schedule, logs, and errors are visible and documented.</x:v>
      </x:c>
      <x:c r="D11" s="20" t="str">
        <x:v>Pilot</x:v>
      </x:c>
      <x:c r="E11" s="20" t="str">
        <x:v>Blue Nova</x:v>
      </x:c>
      <x:c r="F11" s="20" t="str">
        <x:v>Not started</x:v>
      </x:c>
      <x:c r="G11" s="20" t="str"/>
    </x:row>
    <x:row r="12" ht="58" customHeight="1">
      <x:c r="A12" s="21" t="n">
        <x:v>7</x:v>
      </x:c>
      <x:c r="B12" s="20" t="str">
        <x:v>Orders</x:v>
      </x:c>
      <x:c r="C12" s="20" t="str">
        <x:v>WooCommerce order reaches Revel correctly.</x:v>
      </x:c>
      <x:c r="D12" s="20" t="str">
        <x:v>End-to-end test</x:v>
      </x:c>
      <x:c r="E12" s="20" t="str">
        <x:v>Blue Nova</x:v>
      </x:c>
      <x:c r="F12" s="20" t="str">
        <x:v>Not started</x:v>
      </x:c>
      <x:c r="G12" s="20" t="str"/>
    </x:row>
    <x:row r="13" ht="58" customHeight="1">
      <x:c r="A13" s="21" t="n">
        <x:v>8</x:v>
      </x:c>
      <x:c r="B13" s="20" t="str">
        <x:v>Orders</x:v>
      </x:c>
      <x:c r="C13" s="20" t="str">
        <x:v>Order reduces inventory at Clarkston only.</x:v>
      </x:c>
      <x:c r="D13" s="20" t="str">
        <x:v>End-to-end test</x:v>
      </x:c>
      <x:c r="E13" s="20" t="str">
        <x:v>Blue Nova / Mark</x:v>
      </x:c>
      <x:c r="F13" s="20" t="str">
        <x:v>Not started</x:v>
      </x:c>
      <x:c r="G13" s="20" t="str"/>
    </x:row>
    <x:row r="14" ht="58" customHeight="1">
      <x:c r="A14" s="21" t="n">
        <x:v>9</x:v>
      </x:c>
      <x:c r="B14" s="20" t="str">
        <x:v>Inventory</x:v>
      </x:c>
      <x:c r="C14" s="20" t="str">
        <x:v>Out-of-stock, backorder, and safety-buffer behavior matches approval.</x:v>
      </x:c>
      <x:c r="D14" s="20" t="str">
        <x:v>Pilot</x:v>
      </x:c>
      <x:c r="E14" s="20" t="str">
        <x:v>Blue Nova / Rebekah</x:v>
      </x:c>
      <x:c r="F14" s="20" t="str">
        <x:v>Not started</x:v>
      </x:c>
      <x:c r="G14" s="20" t="str"/>
    </x:row>
    <x:row r="15" ht="58" customHeight="1">
      <x:c r="A15" s="21" t="n">
        <x:v>10</x:v>
      </x:c>
      <x:c r="B15" s="20" t="str">
        <x:v>Shipping</x:v>
      </x:c>
      <x:c r="C15" s="20" t="str">
        <x:v>Approved regions, exclusions, PO-box rule, services, labels, packages, and representative cart/address rates are correct.</x:v>
      </x:c>
      <x:c r="D15" s="20" t="str">
        <x:v>Checkout QA</x:v>
      </x:c>
      <x:c r="E15" s="20" t="str">
        <x:v>Blue Nova</x:v>
      </x:c>
      <x:c r="F15" s="20" t="str">
        <x:v>Not started</x:v>
      </x:c>
      <x:c r="G15" s="20" t="str"/>
    </x:row>
    <x:row r="16" ht="58" customHeight="1">
      <x:c r="A16" s="21" t="n">
        <x:v>11</x:v>
      </x:c>
      <x:c r="B16" s="20" t="str">
        <x:v>Tax</x:v>
      </x:c>
      <x:c r="C16" s="20" t="str">
        <x:v>Calculations match the client-supplied approved rules, including shipping treatment.</x:v>
      </x:c>
      <x:c r="D16" s="20" t="str">
        <x:v>Checkout QA</x:v>
      </x:c>
      <x:c r="E16" s="20" t="str">
        <x:v>Blue Nova / Rebekah</x:v>
      </x:c>
      <x:c r="F16" s="20" t="str">
        <x:v>Not started</x:v>
      </x:c>
      <x:c r="G16" s="20" t="str"/>
    </x:row>
    <x:row r="17" ht="58" customHeight="1">
      <x:c r="A17" s="21" t="n">
        <x:v>12</x:v>
      </x:c>
      <x:c r="B17" s="20" t="str">
        <x:v>Payments</x:v>
      </x:c>
      <x:c r="C17" s="20" t="str">
        <x:v>Success, failure, authorization/capture if applicable, void, cancellation, and refund tests pass in test mode.</x:v>
      </x:c>
      <x:c r="D17" s="20" t="str">
        <x:v>Gateway QA</x:v>
      </x:c>
      <x:c r="E17" s="20" t="str">
        <x:v>Blue Nova</x:v>
      </x:c>
      <x:c r="F17" s="20" t="str">
        <x:v>Not started</x:v>
      </x:c>
      <x:c r="G17" s="20" t="str"/>
    </x:row>
    <x:row r="18" ht="58" customHeight="1">
      <x:c r="A18" s="21" t="n">
        <x:v>13</x:v>
      </x:c>
      <x:c r="B18" s="20" t="str">
        <x:v>Emails</x:v>
      </x:c>
      <x:c r="C18" s="20" t="str">
        <x:v>Customer/admin order, failed-payment, refund, cancellation, and low-stock emails deliver with correct details.</x:v>
      </x:c>
      <x:c r="D18" s="20" t="str">
        <x:v>Operations QA</x:v>
      </x:c>
      <x:c r="E18" s="20" t="str">
        <x:v>Blue Nova / Rebekah</x:v>
      </x:c>
      <x:c r="F18" s="20" t="str">
        <x:v>Not started</x:v>
      </x:c>
      <x:c r="G18" s="20" t="str"/>
    </x:row>
    <x:row r="19" ht="36" hidden="0" customHeight="1">
      <x:c r="A19" s="21" t="n">
        <x:v>14</x:v>
      </x:c>
      <x:c r="B19" s="20" t="str">
        <x:v>Accounts</x:v>
      </x:c>
      <x:c r="C19" s="20" t="str">
        <x:v>Guest checkout works without an account. Optional account creation, consent, login, password reset, addresses, and order history all work. Customer 2FA is not shown or required. Staff/administrator backend protection is tested separately.</x:v>
      </x:c>
      <x:c r="D19" s="20" t="str">
        <x:v>Customer journey + security QA</x:v>
      </x:c>
      <x:c r="E19" s="20" t="str">
        <x:v>Blue Nova</x:v>
      </x:c>
      <x:c r="F19" s="20" t="str">
        <x:v>Not started</x:v>
      </x:c>
      <x:c r="G19" s="20" t="str">
        <x:v>Record guest checkout, optional-account creation, sign-in, reset-email, address, order-history, accessibility, and separate staff/admin backend-security evidence.</x:v>
      </x:c>
    </x:row>
    <x:row r="20" ht="58" customHeight="1">
      <x:c r="A20" s="21" t="n">
        <x:v>15</x:v>
      </x:c>
      <x:c r="B20" s="20" t="str">
        <x:v>Policies</x:v>
      </x:c>
      <x:c r="C20" s="20" t="str">
        <x:v>Shipping, Returns, Terms, Privacy, Disclaimer, contact, return address, cancellation, damage/loss details are approved and linked.</x:v>
      </x:c>
      <x:c r="D20" s="20" t="str">
        <x:v>Prelaunch</x:v>
      </x:c>
      <x:c r="E20" s="20" t="str">
        <x:v>Rebekah / reviewer</x:v>
      </x:c>
      <x:c r="F20" s="20" t="str">
        <x:v>Not started</x:v>
      </x:c>
      <x:c r="G20" s="20" t="str"/>
    </x:row>
    <x:row r="21" ht="58" customHeight="1">
      <x:c r="A21" s="21" t="n">
        <x:v>16</x:v>
      </x:c>
      <x:c r="B21" s="20" t="str">
        <x:v>Storefront</x:v>
      </x:c>
      <x:c r="C21" s="20" t="str">
        <x:v>Store home, catalog, cards, product pages, cart, checkout, account, confirmation, search, filters, and states match approvals.</x:v>
      </x:c>
      <x:c r="D21" s="20" t="str">
        <x:v>Design QA</x:v>
      </x:c>
      <x:c r="E21" s="20" t="str">
        <x:v>Blue Nova / Todd</x:v>
      </x:c>
      <x:c r="F21" s="20" t="str">
        <x:v>Not started</x:v>
      </x:c>
      <x:c r="G21" s="20" t="str"/>
    </x:row>
    <x:row r="22" ht="58" customHeight="1">
      <x:c r="A22" s="21" t="n">
        <x:v>17</x:v>
      </x:c>
      <x:c r="B22" s="20" t="str">
        <x:v>Responsive</x:v>
      </x:c>
      <x:c r="C22" s="20" t="str">
        <x:v>Desktop, tablet, and phone layouts pass without overflow, clipping, overlap, or missing controls.</x:v>
      </x:c>
      <x:c r="D22" s="20" t="str">
        <x:v>Design + staging QA</x:v>
      </x:c>
      <x:c r="E22" s="20" t="str">
        <x:v>Blue Nova</x:v>
      </x:c>
      <x:c r="F22" s="20" t="str">
        <x:v>Not started</x:v>
      </x:c>
      <x:c r="G22" s="20" t="str"/>
    </x:row>
    <x:row r="23" ht="58" customHeight="1">
      <x:c r="A23" s="21" t="n">
        <x:v>18</x:v>
      </x:c>
      <x:c r="B23" s="20" t="str">
        <x:v>Accessibility</x:v>
      </x:c>
      <x:c r="C23" s="20" t="str">
        <x:v>Keyboard, focus, labels, errors, contrast, reduced motion, headings, and semantics pass review.</x:v>
      </x:c>
      <x:c r="D23" s="20" t="str">
        <x:v>Design + staging QA</x:v>
      </x:c>
      <x:c r="E23" s="20" t="str">
        <x:v>Blue Nova</x:v>
      </x:c>
      <x:c r="F23" s="20" t="str">
        <x:v>Not started</x:v>
      </x:c>
      <x:c r="G23" s="20" t="str"/>
    </x:row>
    <x:row r="24" ht="58" customHeight="1">
      <x:c r="A24" s="21" t="n">
        <x:v>19</x:v>
      </x:c>
      <x:c r="B24" s="20" t="str">
        <x:v>SEO</x:v>
      </x:c>
      <x:c r="C24" s="20" t="str">
        <x:v>Titles, metadata, canonicals, schema, breadcrumbs, sitemaps, archive rules, and transactional noindex controls are correct.</x:v>
      </x:c>
      <x:c r="D24" s="20" t="str">
        <x:v>Prelaunch</x:v>
      </x:c>
      <x:c r="E24" s="20" t="str">
        <x:v>Blue Nova</x:v>
      </x:c>
      <x:c r="F24" s="20" t="str">
        <x:v>Not started</x:v>
      </x:c>
      <x:c r="G24" s="20" t="str"/>
    </x:row>
    <x:row r="25" ht="58" customHeight="1">
      <x:c r="A25" s="21" t="n">
        <x:v>20</x:v>
      </x:c>
      <x:c r="B25" s="20" t="str">
        <x:v>Analytics</x:v>
      </x:c>
      <x:c r="C25" s="20" t="str">
        <x:v>Search, product view, add-to-cart, checkout, purchase, and error events work with consent controls.</x:v>
      </x:c>
      <x:c r="D25" s="20" t="str">
        <x:v>Prelaunch</x:v>
      </x:c>
      <x:c r="E25" s="20" t="str">
        <x:v>Blue Nova</x:v>
      </x:c>
      <x:c r="F25" s="20" t="str">
        <x:v>Not started</x:v>
      </x:c>
      <x:c r="G25" s="20" t="str"/>
    </x:row>
    <x:row r="26" ht="58" customHeight="1">
      <x:c r="A26" s="21" t="n">
        <x:v>21</x:v>
      </x:c>
      <x:c r="B26" s="20" t="str">
        <x:v>Performance</x:v>
      </x:c>
      <x:c r="C26" s="20" t="str">
        <x:v>Uncached cart/checkout and realistic load pass without unacceptable response time or resource queueing.</x:v>
      </x:c>
      <x:c r="D26" s="20" t="str">
        <x:v>Prelaunch</x:v>
      </x:c>
      <x:c r="E26" s="20" t="str">
        <x:v>Blue Nova</x:v>
      </x:c>
      <x:c r="F26" s="20" t="str">
        <x:v>Not started</x:v>
      </x:c>
      <x:c r="G26" s="20" t="str"/>
    </x:row>
    <x:row r="27" ht="58" customHeight="1">
      <x:c r="A27" s="21" t="n">
        <x:v>22</x:v>
      </x:c>
      <x:c r="B27" s="20" t="str">
        <x:v>Recovery</x:v>
      </x:c>
      <x:c r="C27" s="20" t="str">
        <x:v>Transactional backup frequency, restore procedure, rollback point, and test-state recovery are verified.</x:v>
      </x:c>
      <x:c r="D27" s="20" t="str">
        <x:v>Before pilot + launch</x:v>
      </x:c>
      <x:c r="E27" s="20" t="str">
        <x:v>Blue Nova / Rebekah</x:v>
      </x:c>
      <x:c r="F27" s="20" t="str">
        <x:v>Not started</x:v>
      </x:c>
      <x:c r="G27" s="20" t="str"/>
    </x:row>
    <x:row r="28" ht="58" customHeight="1">
      <x:c r="A28" s="21" t="n">
        <x:v>23</x:v>
      </x:c>
      <x:c r="B28" s="20" t="str">
        <x:v>Content safety</x:v>
      </x:c>
      <x:c r="C28" s="20" t="str">
        <x:v>New production blogs/events/forms/users are preserved; no full-database overwrite is used for launch.</x:v>
      </x:c>
      <x:c r="D28" s="20" t="str">
        <x:v>Deployment</x:v>
      </x:c>
      <x:c r="E28" s="20" t="str">
        <x:v>Blue Nova</x:v>
      </x:c>
      <x:c r="F28" s="20" t="str">
        <x:v>Not started</x:v>
      </x:c>
      <x:c r="G28" s="20" t="str"/>
    </x:row>
    <x:row r="29" ht="58" customHeight="1">
      <x:c r="A29" s="21" t="n">
        <x:v>24</x:v>
      </x:c>
      <x:c r="B29" s="20" t="str">
        <x:v>Product approval</x:v>
      </x:c>
      <x:c r="C29" s="20" t="str">
        <x:v>Rebekah approves the exact 25-product list, remaining content, claims, warnings, and customer presentation.</x:v>
      </x:c>
      <x:c r="D29" s="20" t="str">
        <x:v>Pilot signoff</x:v>
      </x:c>
      <x:c r="E29" s="20" t="str">
        <x:v>Rebekah</x:v>
      </x:c>
      <x:c r="F29" s="20" t="str">
        <x:v>Not started</x:v>
      </x:c>
      <x:c r="G29" s="20" t="str"/>
    </x:row>
    <x:row r="30" ht="58" customHeight="1">
      <x:c r="A30" s="21" t="n">
        <x:v>25</x:v>
      </x:c>
      <x:c r="B30" s="20" t="str">
        <x:v>Operations</x:v>
      </x:c>
      <x:c r="C30" s="20" t="str">
        <x:v>Fulfillment, packing, labels, customer service, cancellations/refunds, and exception handling are documented.</x:v>
      </x:c>
      <x:c r="D30" s="20" t="str">
        <x:v>Prelaunch</x:v>
      </x:c>
      <x:c r="E30" s="20" t="str">
        <x:v>Rebekah / Blue Nova</x:v>
      </x:c>
      <x:c r="F30" s="20" t="str">
        <x:v>Not started</x:v>
      </x:c>
      <x:c r="G30" s="20" t="str"/>
    </x:row>
    <x:row r="31" ht="82" customHeight="1">
      <x:c r="A31" s="21" t="n">
        <x:v>26</x:v>
      </x:c>
      <x:c r="B31" s="20" t="str">
        <x:v>Training</x:v>
      </x:c>
      <x:c r="C31" s="20" t="str">
        <x:v>The welcome packet is delivered and designated staff complete the instructional videos, written guides, live walkthrough, and escalation review for accounts, orders, Revel maintenance, fulfillment, refunds, and customer support.</x:v>
      </x:c>
      <x:c r="D31" s="20" t="str">
        <x:v>Prelaunch</x:v>
      </x:c>
      <x:c r="E31" s="20" t="str">
        <x:v>Blue Nova / Rebekah</x:v>
      </x:c>
      <x:c r="F31" s="20" t="str">
        <x:v>Not started</x:v>
      </x:c>
      <x:c r="G31" s="20" t="str">
        <x:v>Record the packet link, video links, written guides, staff attendees, acknowledgment, and escalation contact sheet.</x:v>
      </x:c>
    </x:row>
    <x:row r="32" ht="58" customHeight="1">
      <x:c r="A32" s="21" t="n">
        <x:v>27</x:v>
      </x:c>
      <x:c r="B32" s="20" t="str">
        <x:v>Client approval</x:v>
      </x:c>
      <x:c r="C32" s="20" t="str">
        <x:v>Rebekah approves the final customer journey and authorizes controlled public launch.</x:v>
      </x:c>
      <x:c r="D32" s="20" t="str">
        <x:v>Launch gate</x:v>
      </x:c>
      <x:c r="E32" s="20" t="str">
        <x:v>Rebekah</x:v>
      </x:c>
      <x:c r="F32" s="20" t="str">
        <x:v>Not started</x:v>
      </x:c>
      <x:c r="G32" s="20" t="str"/>
    </x:row>
    <x:row r="33" ht="58" customHeight="1">
      <x:c r="A33" s="21" t="n">
        <x:v>28</x:v>
      </x:c>
      <x:c r="B33" s="20" t="str">
        <x:v>Stabilization</x:v>
      </x:c>
      <x:c r="C33" s="20" t="str">
        <x:v>Monitoring, backups, integration errors, orders, inventory, performance, and support ownership are confirmed for first 30 days.</x:v>
      </x:c>
      <x:c r="D33" s="20" t="str">
        <x:v>Postlaunch</x:v>
      </x:c>
      <x:c r="E33" s="20" t="str">
        <x:v>Blue Nova / Rebekah</x:v>
      </x:c>
      <x:c r="F33" s="20" t="str">
        <x:v>Not started</x:v>
      </x:c>
      <x:c r="G33" s="20" t="str"/>
    </x:row>
  </x:sheetData>
  <x:mergeCells>
    <x:mergeCell ref="A1:G1"/>
    <x:mergeCell ref="A2:G2"/>
  </x:mergeCells>
  <x:conditionalFormatting sqref="F6:F50">
    <x:cfRule type="containsText" dxfId="15" priority="1" operator="containsText" text="Approved"/>
    <x:cfRule type="containsText" dxfId="16" priority="2" operator="containsText" text="Confirmed"/>
    <x:cfRule type="containsText" dxfId="17" priority="3" operator="containsText" text="In review"/>
    <x:cfRule type="containsText" dxfId="18" priority="4" operator="containsText" text="Needs approval"/>
    <x:cfRule type="beginsWith" dxfId="19" priority="5" operator="beginsWith" text="Pending"/>
  </x:conditionalFormatting>
  <x:dataValidations count="1">
    <x:dataValidation type="list" sqref="F6:F50">
      <x:formula1>"Not started,In progress,Passed,Failed,Not applicable"</x:formula1>
    </x:dataValidation>
  </x:dataValidations>
  <x:pageMargins left="0.7" right="0.7" top="0.75" bottom="0.75" header="0.3" footer="0.3"/>
  <x:tableParts count="1">
    <x:tablePart xmlns:r="http://schemas.openxmlformats.org/officeDocument/2006/relationships" r:id="Ra229b5909eb64d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8" hidden="0" customWidth="1"/>
    <x:col min="4" max="4" width="25" hidden="0" customWidth="1"/>
    <x:col min="5" max="5" width="28" hidden="0" customWidth="1"/>
    <x:col min="6" max="6" width="20" hidden="0" customWidth="1"/>
    <x:col min="7" max="7" width="45" hidden="0" customWidth="1"/>
  </x:cols>
  <x:sheetData>
    <x:row r="1" ht="32" customHeight="1">
      <x:c r="A1" s="3" t="str">
        <x:v>Phase Two Scope, Cost Assumptions, Estimates, and Exclusions</x:v>
      </x:c>
    </x:row>
    <x:row r="2" ht="36" customHeight="1">
      <x:c r="A2" s="7" t="str">
        <x:v>Recorded vendor prices and time estimates are planning assumptions from the current project record, not purchase authorization. Reverify pricing and obtain client approval immediately before any subscription, extension, hosting change, or out-of-scope work.</x:v>
      </x:c>
    </x:row>
    <x:row r="4" ht="30" customHeight="1">
      <x:c r="A4" s="17" t="str">
        <x:v>Type</x:v>
      </x:c>
      <x:c r="B4" s="17" t="str">
        <x:v>Item</x:v>
      </x:c>
      <x:c r="C4" s="17" t="str">
        <x:v>Current Planning Assumption</x:v>
      </x:c>
      <x:c r="D4" s="17" t="str">
        <x:v>Owner / Payer</x:v>
      </x:c>
      <x:c r="E4" s="17" t="str">
        <x:v>Trigger</x:v>
      </x:c>
      <x:c r="F4" s="17" t="str">
        <x:v>Status</x:v>
      </x:c>
      <x:c r="G4" s="17" t="str">
        <x:v>Source / Boundary</x:v>
      </x:c>
    </x:row>
    <x:row r="5" ht="62" customHeight="1">
      <x:c r="A5" s="20" t="str">
        <x:v>Included scope</x:v>
      </x:c>
      <x:c r="B5" s="20" t="str">
        <x:v>Fulfillment model</x:v>
      </x:c>
      <x:c r="C5" s="20" t="str">
        <x:v>One location: Clarkston; shipping only; continental U.S.</x:v>
      </x:c>
      <x:c r="D5" s="20" t="str">
        <x:v>Rebekah / Blue Nova</x:v>
      </x:c>
      <x:c r="E5" s="20" t="str">
        <x:v>Pilot</x:v>
      </x:c>
      <x:c r="F5" s="20" t="str">
        <x:v>Confirmed</x:v>
      </x:c>
      <x:c r="G5" s="20" t="str">
        <x:v>PHASE-TWO-MASTER-CHECKLIST.md</x:v>
      </x:c>
    </x:row>
    <x:row r="6" ht="62" customHeight="1">
      <x:c r="A6" s="20" t="str">
        <x:v>Included scope</x:v>
      </x:c>
      <x:c r="B6" s="20" t="str">
        <x:v>Pilot catalog</x:v>
      </x:c>
      <x:c r="C6" s="20" t="str">
        <x:v>25 representative products after one-product proof</x:v>
      </x:c>
      <x:c r="D6" s="20" t="str">
        <x:v>Rebekah / Mark / Blue Nova</x:v>
      </x:c>
      <x:c r="E6" s="20" t="str">
        <x:v>Integration</x:v>
      </x:c>
      <x:c r="F6" s="20" t="str">
        <x:v>Pending product data</x:v>
      </x:c>
      <x:c r="G6" s="20" t="str">
        <x:v>Full catalog is deferred.</x:v>
      </x:c>
    </x:row>
    <x:row r="7" ht="62" customHeight="1">
      <x:c r="A7" s="20" t="str">
        <x:v>Included scope</x:v>
      </x:c>
      <x:c r="B7" s="20" t="str">
        <x:v>Design approval</x:v>
      </x:c>
      <x:c r="C7" s="20" t="str">
        <x:v>All seven reusable responsive systems are internally approved; Rebekah approved six exact systems and Shop/Catalog v1.9 remains the sole design-approval gate</x:v>
      </x:c>
      <x:c r="D7" s="20" t="str">
        <x:v>Blue Nova / Todd / Rebekah</x:v>
      </x:c>
      <x:c r="E7" s="20" t="str">
        <x:v>Current pre-staging phase</x:v>
      </x:c>
      <x:c r="F7" s="20" t="str">
        <x:v>Awaiting final client approval</x:v>
      </x:c>
      <x:c r="G7" s="20" t="str">
        <x:v>No WordPress or hosting work.</x:v>
      </x:c>
    </x:row>
    <x:row r="8" ht="72" hidden="0" customHeight="1">
      <x:c r="A8" s="20" t="str">
        <x:v>Software</x:v>
      </x:c>
      <x:c r="B8" s="20" t="str">
        <x:v>WooCommerce core customer accounts</x:v>
      </x:c>
      <x:c r="C8" s="20" t="str">
        <x:v>$0 additional customer-account software planned; guest checkout and standard My Account features are included with WooCommerce core</x:v>
      </x:c>
      <x:c r="D8" s="20" t="str">
        <x:v>Existing project / Rebekah</x:v>
      </x:c>
      <x:c r="E8" s="20" t="str">
        <x:v>Before protected staging</x:v>
      </x:c>
      <x:c r="F8" s="87" t="str">
        <x:v>Included</x:v>
      </x:c>
      <x:c r="G8" s="20" t="str">
        <x:v>No customer 2FA extension or customer-verification purchase is planned. Staff/administrator backend protection is a separate staging security task; confirm the approved compatible method and any cost before launch.</x:v>
      </x:c>
    </x:row>
    <x:row r="9" ht="62" customHeight="1">
      <x:c r="A9" s="20" t="str">
        <x:v>Software</x:v>
      </x:c>
      <x:c r="B9" s="20" t="str">
        <x:v>Kosmos eSync Warmup</x:v>
      </x:c>
      <x:c r="C9" s="20" t="str">
        <x:v>$49 month-to-month or $39/month billed annually; 14-day trial is currently active</x:v>
      </x:c>
      <x:c r="D9" s="20" t="str">
        <x:v>Rebekah</x:v>
      </x:c>
      <x:c r="E9" s="20" t="str">
        <x:v>Active trial window</x:v>
      </x:c>
      <x:c r="F9" s="27" t="str">
        <x:v>Active trial</x:v>
      </x:c>
      <x:c r="G9" s="20" t="str">
        <x:v>Reverify: https://kosmoscentral.com/esync-cloud-pricing-monthly</x:v>
      </x:c>
    </x:row>
    <x:row r="10" ht="62" customHeight="1">
      <x:c r="A10" s="20" t="str">
        <x:v>Software</x:v>
      </x:c>
      <x:c r="B10" s="20" t="str">
        <x:v>USPS live-rate plugin (free pilot first)</x:v>
      </x:c>
      <x:c r="C10" s="20" t="str">
        <x:v>Test the free Octolize USPS live-rate plugin; use paid PRO only if testing proves advanced packing is required</x:v>
      </x:c>
      <x:c r="D10" s="20" t="str">
        <x:v>Rebekah</x:v>
      </x:c>
      <x:c r="E10" s="20" t="str">
        <x:v>Shipping configuration</x:v>
      </x:c>
      <x:c r="F10" s="25" t="str">
        <x:v>No purchase yet</x:v>
      </x:c>
      <x:c r="G10" s="20" t="str">
        <x:v>Reverify before purchase: https://octolize.com/product/usps-woocommerce-live-rates-pro-plugin/</x:v>
      </x:c>
    </x:row>
    <x:row r="11" ht="62" customHeight="1">
      <x:c r="A11" s="20" t="str">
        <x:v>Software</x:v>
      </x:c>
      <x:c r="B11" s="20" t="str">
        <x:v>Likely Clover WooCommerce gateway</x:v>
      </x:c>
      <x:c r="C11" s="20" t="str">
        <x:v>$0 plugin; merchant processing contract/rates are separate</x:v>
      </x:c>
      <x:c r="D11" s="20" t="str">
        <x:v>Rebekah</x:v>
      </x:c>
      <x:c r="E11" s="20" t="str">
        <x:v>Merchant account ready</x:v>
      </x:c>
      <x:c r="F11" s="20" t="str">
        <x:v>Pending decision</x:v>
      </x:c>
      <x:c r="G11" s="20" t="str">
        <x:v>Reverify actual Fiserv/Clover product.</x:v>
      </x:c>
    </x:row>
    <x:row r="12" ht="62" customHeight="1">
      <x:c r="A12" s="20" t="str">
        <x:v>Exception</x:v>
      </x:c>
      <x:c r="B12" s="20" t="str">
        <x:v>Custom Kosmos mapping</x:v>
      </x:c>
      <x:c r="C12" s="20" t="str">
        <x:v>Not expected; recorded starting setup estimate $150 only if testing proves necessary</x:v>
      </x:c>
      <x:c r="D12" s="20" t="str">
        <x:v>Rebekah</x:v>
      </x:c>
      <x:c r="E12" s="20" t="str">
        <x:v>Failed standard mapping</x:v>
      </x:c>
      <x:c r="F12" s="20" t="str">
        <x:v>Not budgeted</x:v>
      </x:c>
      <x:c r="G12" s="20" t="str">
        <x:v>Requires exact quote and approval.</x:v>
      </x:c>
    </x:row>
    <x:row r="13" ht="62" customHeight="1">
      <x:c r="A13" s="20" t="str">
        <x:v>Infrastructure</x:v>
      </x:c>
      <x:c r="B13" s="20" t="str">
        <x:v>Temporary server increase</x:v>
      </x:c>
      <x:c r="C13" s="20" t="str">
        <x:v>Plan for 4 GB / 2 vCPU before heavy staging/sync/load work; keep through first 30 days</x:v>
      </x:c>
      <x:c r="D13" s="20" t="str">
        <x:v>Rebekah</x:v>
      </x:c>
      <x:c r="E13" s="20" t="str">
        <x:v>Prerequisites + working window</x:v>
      </x:c>
      <x:c r="F13" s="20" t="str">
        <x:v>Future approval</x:v>
      </x:c>
      <x:c r="G13" s="20" t="str">
        <x:v>Do not increase storage merely for easy CPU/RAM reversal.</x:v>
      </x:c>
    </x:row>
    <x:row r="14" ht="62" customHeight="1">
      <x:c r="A14" s="20" t="str">
        <x:v>Estimate</x:v>
      </x:c>
      <x:c r="B14" s="20" t="str">
        <x:v>25-product synchronization proof</x:v>
      </x:c>
      <x:c r="C14" s="20" t="str">
        <x:v>8–14 Blue Nova hours; normally 2–5 business days</x:v>
      </x:c>
      <x:c r="D14" s="20" t="str">
        <x:v>Blue Nova</x:v>
      </x:c>
      <x:c r="E14" s="20" t="str">
        <x:v>All prerequisites ready</x:v>
      </x:c>
      <x:c r="F14" s="20" t="str">
        <x:v>Planning estimate</x:v>
      </x:c>
      <x:c r="G14" s="20" t="str">
        <x:v>Does not include custom storefront design.</x:v>
      </x:c>
    </x:row>
    <x:row r="15" ht="62" customHeight="1">
      <x:c r="A15" s="20" t="str">
        <x:v>Estimate</x:v>
      </x:c>
      <x:c r="B15" s="20" t="str">
        <x:v>Launch-ready shipping-only operational pilot</x:v>
      </x:c>
      <x:c r="C15" s="20" t="str">
        <x:v>18–30 Blue Nova hours; about 1–2 weeks</x:v>
      </x:c>
      <x:c r="D15" s="20" t="str">
        <x:v>Blue Nova</x:v>
      </x:c>
      <x:c r="E15" s="20" t="str">
        <x:v>Full operational scope ready</x:v>
      </x:c>
      <x:c r="F15" s="20" t="str">
        <x:v>Planning estimate</x:v>
      </x:c>
      <x:c r="G15" s="20" t="str">
        <x:v>Vendor/content exceptions may extend timing.</x:v>
      </x:c>
    </x:row>
    <x:row r="16" ht="62" customHeight="1">
      <x:c r="A16" s="20" t="str">
        <x:v>Separate scope</x:v>
      </x:c>
      <x:c r="B16" s="20" t="str">
        <x:v>Custom storefront design and refinement</x:v>
      </x:c>
      <x:c r="C16" s="20" t="str">
        <x:v>Separate Phase Two design/build work</x:v>
      </x:c>
      <x:c r="D16" s="20" t="str">
        <x:v>Blue Nova / Rebekah</x:v>
      </x:c>
      <x:c r="E16" s="20" t="str">
        <x:v>Design approval</x:v>
      </x:c>
      <x:c r="F16" s="20" t="str">
        <x:v>Current planning</x:v>
      </x:c>
      <x:c r="G16" s="20" t="str">
        <x:v>Not included in synchronization estimate.</x:v>
      </x:c>
    </x:row>
    <x:row r="17" ht="62" customHeight="1">
      <x:c r="A17" s="20" t="str">
        <x:v>Excluded</x:v>
      </x:c>
      <x:c r="B17" s="20" t="str">
        <x:v>Local pickup and multi-location fulfillment</x:v>
      </x:c>
      <x:c r="C17" s="20" t="str">
        <x:v>Outside pilot</x:v>
      </x:c>
      <x:c r="D17" s="20" t="str">
        <x:v>Rebekah</x:v>
      </x:c>
      <x:c r="E17" s="20" t="str">
        <x:v>Future change request</x:v>
      </x:c>
      <x:c r="F17" s="20" t="str">
        <x:v>Excluded</x:v>
      </x:c>
      <x:c r="G17" s="20" t="str">
        <x:v>Requires separate design, inventory, and operational planning.</x:v>
      </x:c>
    </x:row>
    <x:row r="18" ht="62" customHeight="1">
      <x:c r="A18" s="20" t="str">
        <x:v>Excluded</x:v>
      </x:c>
      <x:c r="B18" s="20" t="str">
        <x:v>Full-catalog rollout</x:v>
      </x:c>
      <x:c r="C18" s="20" t="str">
        <x:v>Deferred until pilot metrics, errors, content gaps, and time are known</x:v>
      </x:c>
      <x:c r="D18" s="20" t="str">
        <x:v>Rebekah / Blue Nova</x:v>
      </x:c>
      <x:c r="E18" s="20" t="str">
        <x:v>Pilot passes</x:v>
      </x:c>
      <x:c r="F18" s="20" t="str">
        <x:v>Excluded from pilot</x:v>
      </x:c>
      <x:c r="G18" s="20" t="str">
        <x:v>Estimate from actual pilot results.</x:v>
      </x:c>
    </x:row>
    <x:row r="19" ht="62" customHeight="1">
      <x:c r="A19" s="20" t="str">
        <x:v>Excluded</x:v>
      </x:c>
      <x:c r="B19" s="20" t="str">
        <x:v>Coupons, gift certificates, store credit, loyalty, reviews, wishlist</x:v>
      </x:c>
      <x:c r="C19" s="20" t="str">
        <x:v>Excluded unless specifically approved</x:v>
      </x:c>
      <x:c r="D19" s="20" t="str">
        <x:v>Rebekah</x:v>
      </x:c>
      <x:c r="E19" s="20" t="str">
        <x:v>Change request</x:v>
      </x:c>
      <x:c r="F19" s="20" t="str">
        <x:v>Excluded</x:v>
      </x:c>
      <x:c r="G19" s="20" t="str">
        <x:v>Would change design, testing, operations, and possibly plugins.</x:v>
      </x:c>
    </x:row>
    <x:row r="20" ht="62" customHeight="1">
      <x:c r="A20" s="20" t="str">
        <x:v>Separate scope</x:v>
      </x:c>
      <x:c r="B20" s="20" t="str">
        <x:v>New photography, extensive editing, original copywriting, full-catalog cleanup, manual bulk entry</x:v>
      </x:c>
      <x:c r="C20" s="20" t="str">
        <x:v>Quote separately if requested</x:v>
      </x:c>
      <x:c r="D20" s="20" t="str">
        <x:v>Rebekah</x:v>
      </x:c>
      <x:c r="E20" s="20" t="str">
        <x:v>Audit identifies need</x:v>
      </x:c>
      <x:c r="F20" s="20" t="str">
        <x:v>Not included</x:v>
      </x:c>
      <x:c r="G20" s="20" t="str">
        <x:v>Pilot includes focused audit and one consolidated gap list.</x:v>
      </x:c>
    </x:row>
    <x:row r="21" ht="62" customHeight="1">
      <x:c r="A21" s="20" t="str">
        <x:v>Separate scope</x:v>
      </x:c>
      <x:c r="B21" s="20" t="str">
        <x:v>Postlaunch integration monitoring and ongoing ecommerce support</x:v>
      </x:c>
      <x:c r="C21" s="20" t="str">
        <x:v>Define after included stabilization period</x:v>
      </x:c>
      <x:c r="D21" s="20" t="str">
        <x:v>Rebekah / Blue Nova</x:v>
      </x:c>
      <x:c r="E21" s="20" t="str">
        <x:v>Before handoff</x:v>
      </x:c>
      <x:c r="F21" s="20" t="str">
        <x:v>Future approval</x:v>
      </x:c>
      <x:c r="G21" s="20" t="str">
        <x:v>Document support owner and response path.</x:v>
      </x:c>
    </x:row>
  </x:sheetData>
  <x:mergeCells>
    <x:mergeCell ref="A1:G1"/>
    <x:mergeCell ref="A2:G2"/>
  </x:mergeCells>
  <x:conditionalFormatting sqref="F5:F35">
    <x:cfRule type="containsText" dxfId="20" priority="1" operator="containsText" text="Approved"/>
    <x:cfRule type="containsText" dxfId="21" priority="2" operator="containsText" text="Confirmed"/>
    <x:cfRule type="containsText" dxfId="22" priority="3" operator="containsText" text="In review"/>
    <x:cfRule type="containsText" dxfId="23" priority="4" operator="containsText" text="Needs approval"/>
    <x:cfRule type="beginsWith" dxfId="24" priority="5" operator="beginsWith" text="Pending"/>
  </x:conditionalFormatting>
  <x:pageMargins left="0.7" right="0.7" top="0.75" bottom="0.75" header="0.3" footer="0.3"/>
  <x:tableParts count="1">
    <x:tablePart xmlns:r="http://schemas.openxmlformats.org/officeDocument/2006/relationships" r:id="R464e7707eadd478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30" hidden="0" customWidth="1"/>
    <x:col min="3" max="3" width="16" hidden="0" customWidth="1"/>
    <x:col min="4" max="4" width="38" hidden="0" customWidth="1"/>
    <x:col min="5" max="5" width="24" hidden="0" customWidth="1"/>
    <x:col min="6" max="6" width="20" hidden="0" customWidth="1"/>
    <x:col min="7" max="7" width="20" hidden="0" customWidth="1"/>
    <x:col min="8" max="8" width="15" hidden="0" customWidth="1"/>
    <x:col min="9" max="9" width="45" hidden="0" customWidth="1"/>
  </x:cols>
  <x:sheetData>
    <x:row r="1" ht="36" customHeight="1">
      <x:c r="A1" s="36" t="str">
        <x:v>Rebekah's Phase Two Ecommerce Mockup Version Register</x:v>
      </x:c>
      <x:c r="B1" s="36"/>
      <x:c r="C1" s="36"/>
      <x:c r="D1" s="36"/>
      <x:c r="E1" s="36"/>
      <x:c r="F1" s="36"/>
      <x:c r="G1" s="36"/>
      <x:c r="H1" s="36"/>
      <x:c r="I1" s="36"/>
    </x:row>
    <x:row r="2" ht="38" customHeight="1">
      <x:c r="A2" s="40" t="str">
        <x:v>Permanent rule: each mockup starts at v1.1; each reviewed revision advances to v1.2, v1.3, and so on; earlier reviewed files remain preserved; internal and client approval are separate gates tied to an exact version.</x:v>
      </x:c>
      <x:c r="B2" s="40"/>
      <x:c r="C2" s="40"/>
      <x:c r="D2" s="40"/>
      <x:c r="E2" s="40"/>
      <x:c r="F2" s="40"/>
      <x:c r="G2" s="40"/>
      <x:c r="H2" s="40"/>
      <x:c r="I2" s="40"/>
    </x:row>
    <x:row r="3" ht="26" customHeight="1">
      <x:c r="A3" s="41" t="str">
        <x:v>Systems</x:v>
      </x:c>
      <x:c r="B3" s="44" t="n">
        <x:f>COUNTA(B6:B12)</x:f>
        <x:v>7</x:v>
      </x:c>
      <x:c r="C3" s="41" t="str">
        <x:v>Versioned</x:v>
      </x:c>
      <x:c r="D3" s="44" t="n">
        <x:f>COUNTIF(C6:C12,"&lt;&gt;Not started")</x:f>
        <x:v>7</x:v>
      </x:c>
      <x:c r="E3" s="41" t="str">
        <x:v>Awaiting client</x:v>
      </x:c>
      <x:c r="F3" s="44" t="n">
        <x:v>1</x:v>
      </x:c>
      <x:c r="G3" s="41" t="str">
        <x:v>Client approved</x:v>
      </x:c>
      <x:c r="H3" s="44" t="n">
        <x:v>6</x:v>
      </x:c>
      <x:c r="I3" s="45" t="str">
        <x:v>Gate: Rebekah confirms exact Shop v1.9</x:v>
      </x:c>
    </x:row>
    <x:row r="5" ht="28" customHeight="1">
      <x:c r="A5" s="54" t="str">
        <x:v>#</x:v>
      </x:c>
      <x:c r="B5" s="54" t="str">
        <x:v>Mockup System</x:v>
      </x:c>
      <x:c r="C5" s="54" t="str">
        <x:v>Current Version</x:v>
      </x:c>
      <x:c r="D5" s="54" t="str">
        <x:v>Latest File</x:v>
      </x:c>
      <x:c r="E5" s="54" t="str">
        <x:v>Revision Status</x:v>
      </x:c>
      <x:c r="F5" s="54" t="str">
        <x:v>Internal Approval</x:v>
      </x:c>
      <x:c r="G5" s="54" t="str">
        <x:v>Client Approval</x:v>
      </x:c>
      <x:c r="H5" s="54" t="str">
        <x:v>Next Version</x:v>
      </x:c>
      <x:c r="I5" s="54" t="str">
        <x:v>Tracking Note</x:v>
      </x:c>
    </x:row>
    <x:row r="6" ht="58" customHeight="1">
      <x:c r="A6" s="57" t="n">
        <x:v>1</x:v>
      </x:c>
      <x:c r="B6" s="55" t="str">
        <x:v>Header + Footer Ecommerce Add-On</x:v>
      </x:c>
      <x:c r="C6" s="57" t="str">
        <x:v>v1.6</x:v>
      </x:c>
      <x:c r="D6" s="55" t="str">
        <x:v>online-store-header-footer-add-on-v1.6.html</x:v>
      </x:c>
      <x:c r="E6" s="134" t="str">
        <x:v>Revision Needed</x:v>
      </x:c>
      <x:c r="F6" s="55" t="str">
        <x:v>Awaiting Todd</x:v>
      </x:c>
      <x:c r="G6" s="134" t="str">
        <x:v>Pending Rebekah</x:v>
      </x:c>
      <x:c r="H6" s="57" t="str">
        <x:v>v1.7</x:v>
      </x:c>
      <x:c r="I6" s="55" t="str">
        <x:v>Shop Fullscript is now a direct main-menu item rather than a child of In-Store Products. The approved responsive header, ecommerce utility row, and footer are preserved.</x:v>
      </x:c>
    </x:row>
    <x:row r="7" ht="58" customHeight="1">
      <x:c r="A7" s="58" t="n">
        <x:v>2</x:v>
      </x:c>
      <x:c r="B7" s="56" t="str">
        <x:v>Main Homepage Ecommerce Integration</x:v>
      </x:c>
      <x:c r="C7" s="58" t="str">
        <x:v>v1.9</x:v>
      </x:c>
      <x:c r="D7" s="56" t="str">
        <x:v>main-homepage-ecommerce-integration-v1.9.html</x:v>
      </x:c>
      <x:c r="E7" s="134" t="str">
        <x:v>Client Approved</x:v>
      </x:c>
      <x:c r="F7" s="56" t="str">
        <x:v>Approved by Todd</x:v>
      </x:c>
      <x:c r="G7" s="134" t="str">
        <x:v>Approved by Rebekah 2026-09-02</x:v>
      </x:c>
      <x:c r="H7" s="58" t="str">
        <x:v>v1.10</x:v>
      </x:c>
      <x:c r="I7" s="56" t="str">
        <x:v>Exact v1.9 approved by Todd and Rebekah on September 2, 2026. The Shop Online control routes directly to the separate Shop page. Any later design change requires v1.10 and new approval.</x:v>
      </x:c>
    </x:row>
    <x:row r="8" ht="58" customHeight="1">
      <x:c r="A8" s="57" t="n">
        <x:v>3</x:v>
      </x:c>
      <x:c r="B8" s="55" t="str">
        <x:v>Shop Homepage + Product Catalog</x:v>
      </x:c>
      <x:c r="C8" s="57" t="str">
        <x:v>v1.9</x:v>
      </x:c>
      <x:c r="D8" s="55" t="str">
        <x:v>shop-catalog-template-v1.9.html</x:v>
      </x:c>
      <x:c r="E8" s="135" t="str">
        <x:v>Awaiting Client Approval</x:v>
      </x:c>
      <x:c r="F8" s="55" t="str">
        <x:v>Approved by Todd 2026-09-03</x:v>
      </x:c>
      <x:c r="G8" s="135" t="str">
        <x:v>Pending Rebekah</x:v>
      </x:c>
      <x:c r="H8" s="57" t="str">
        <x:v>v1.10</x:v>
      </x:c>
      <x:c r="I8" s="55" t="str">
        <x:v>Client-requested revision internally approved by Todd on September 3, 2026. Preserves v1.8 and uses exactly two compact expandable filter groups—Brands and Wellness Categories—with nine supplied brand choices and 21 supplied wellness categories on desktop and mobile. Actual pilot availability and per-product mappings remain connected-data validation. v1.8 is preserved as superseded client-reviewed history.</x:v>
      </x:c>
    </x:row>
    <x:row r="9" ht="92.4000015258789" hidden="0" customHeight="1">
      <x:c r="A9" s="58" t="n">
        <x:v>4</x:v>
      </x:c>
      <x:c r="B9" s="56" t="str">
        <x:v>Product Page Templates</x:v>
      </x:c>
      <x:c r="C9" s="58" t="str">
        <x:v>v1.7</x:v>
      </x:c>
      <x:c r="D9" s="56" t="str">
        <x:v>product-page-templates-v1.7.html</x:v>
      </x:c>
      <x:c r="E9" s="134" t="str">
        <x:v>Client Approved</x:v>
      </x:c>
      <x:c r="F9" s="56" t="str">
        <x:v>Approved by Todd</x:v>
      </x:c>
      <x:c r="G9" s="134" t="str">
        <x:v>Approved by Rebekah 2026-09-02</x:v>
      </x:c>
      <x:c r="H9" s="58" t="str">
        <x:v>v1.8</x:v>
      </x:c>
      <x:c r="I9" s="56" t="str">
        <x:v>Exact v1.7 approved by Todd and Rebekah. Connected product data, photography, and verified source content remain implementation-validation gates. Any later design change requires v1.8 and new approval.</x:v>
      </x:c>
    </x:row>
    <x:row r="10" ht="58" customHeight="1">
      <x:c r="A10" s="57" t="n">
        <x:v>5</x:v>
      </x:c>
      <x:c r="B10" s="55" t="str">
        <x:v>Purchase Path</x:v>
      </x:c>
      <x:c r="C10" s="57" t="str">
        <x:v>v1.6</x:v>
      </x:c>
      <x:c r="D10" s="55" t="str">
        <x:v>purchase-path-mockup-v1.6.html</x:v>
      </x:c>
      <x:c r="E10" s="134" t="str">
        <x:v>Client Approved</x:v>
      </x:c>
      <x:c r="F10" s="55" t="str">
        <x:v>Approved by Todd</x:v>
      </x:c>
      <x:c r="G10" s="134" t="str">
        <x:v>Approved by Rebekah 2026-09-02</x:v>
      </x:c>
      <x:c r="H10" s="57" t="str">
        <x:v>v1.7</x:v>
      </x:c>
      <x:c r="I10" s="55" t="str">
        <x:v>Exact v1.6 approved by Todd and Rebekah. Connected payment, shipping, tax, email, inventory, order, and provider behavior remain implementation-validation gates. Any later design change requires v1.7 and new approval.</x:v>
      </x:c>
    </x:row>
    <x:row r="11" ht="92.4000015258789" hidden="0" customHeight="1">
      <x:c r="A11" s="88" t="n">
        <x:v>6</x:v>
      </x:c>
      <x:c r="B11" s="89" t="str">
        <x:v>Customer Account System</x:v>
      </x:c>
      <x:c r="C11" s="88" t="str">
        <x:v>v1.6</x:v>
      </x:c>
      <x:c r="D11" s="89" t="str">
        <x:v>customer-account-system-v1.6.html</x:v>
      </x:c>
      <x:c r="E11" s="134" t="str">
        <x:v>Client Approved</x:v>
      </x:c>
      <x:c r="F11" s="89" t="str">
        <x:v>Approved by Todd</x:v>
      </x:c>
      <x:c r="G11" s="134" t="str">
        <x:v>Approved by Rebekah 2026-09-02</x:v>
      </x:c>
      <x:c r="H11" s="88" t="str">
        <x:v>v1.7</x:v>
      </x:c>
      <x:c r="I11" s="89" t="str">
        <x:v>Exact v1.6 approved by Todd and Rebekah. Staff/admin security and connected-service behavior remain later staging validation. Any later design change requires v1.7 and new approval.</x:v>
      </x:c>
    </x:row>
    <x:row r="12" ht="58" customHeight="1">
      <x:c r="A12" s="57" t="n">
        <x:v>7</x:v>
      </x:c>
      <x:c r="B12" s="55" t="str">
        <x:v>Store States + Components</x:v>
      </x:c>
      <x:c r="C12" s="57" t="str">
        <x:v>v1.5</x:v>
      </x:c>
      <x:c r="D12" s="55" t="str">
        <x:v>store-states-components-v1.5.html</x:v>
      </x:c>
      <x:c r="E12" s="134" t="str">
        <x:v>Client Approved</x:v>
      </x:c>
      <x:c r="F12" s="55" t="str">
        <x:v>Approved by Todd</x:v>
      </x:c>
      <x:c r="G12" s="134" t="str">
        <x:v>Approved by Rebekah 2026-09-02</x:v>
      </x:c>
      <x:c r="H12" s="57" t="str">
        <x:v>v1.6</x:v>
      </x:c>
      <x:c r="I12" s="55" t="str">
        <x:v>Exact v1.5 approved by Todd and Rebekah. Provider-specific messages remain later validation inputs. Any later design change requires v1.6 and new approval.</x:v>
      </x:c>
    </x:row>
    <x:row r="14" ht="26" customHeight="1">
      <x:c r="A14" s="35" t="str">
        <x:v>Required update sequence for every revision</x:v>
      </x:c>
      <x:c r="B14" s="35"/>
      <x:c r="C14" s="35"/>
      <x:c r="D14" s="35"/>
      <x:c r="E14" s="35"/>
      <x:c r="F14" s="35"/>
      <x:c r="G14" s="35"/>
      <x:c r="H14" s="35"/>
      <x:c r="I14" s="35"/>
    </x:row>
    <x:row r="15">
      <x:c r="A15" s="61" t="str">
        <x:v>1. Save the new revision as the next versioned file; never overwrite the prior reviewed file.
2. Update this Version Register and PHASE-TWO-MOCKUP-VERSION-REGISTER.md.
3. Update the local review hub so it links only to the newest reviewable version.
4. Record internal approval, client approval, or superseded status for the exact version in CLIENT-NOTES.md.</x:v>
      </x:c>
      <x:c r="B15" s="61"/>
      <x:c r="C15" s="61"/>
      <x:c r="D15" s="61"/>
      <x:c r="E15" s="61"/>
      <x:c r="F15" s="61"/>
      <x:c r="G15" s="61"/>
      <x:c r="H15" s="61"/>
      <x:c r="I15" s="61"/>
    </x:row>
    <x:row r="16">
      <x:c r="A16" s="61"/>
      <x:c r="B16" s="61"/>
      <x:c r="C16" s="61"/>
      <x:c r="D16" s="61"/>
      <x:c r="E16" s="61"/>
      <x:c r="F16" s="61"/>
      <x:c r="G16" s="61"/>
      <x:c r="H16" s="61"/>
      <x:c r="I16" s="61"/>
    </x:row>
    <x:row r="17">
      <x:c r="A17" s="61"/>
      <x:c r="B17" s="61"/>
      <x:c r="C17" s="61"/>
      <x:c r="D17" s="61"/>
      <x:c r="E17" s="61"/>
      <x:c r="F17" s="61"/>
      <x:c r="G17" s="61"/>
      <x:c r="H17" s="61"/>
      <x:c r="I17" s="61"/>
    </x:row>
    <x:row r="18">
      <x:c r="A18" s="61"/>
      <x:c r="B18" s="61"/>
      <x:c r="C18" s="61"/>
      <x:c r="D18" s="61"/>
      <x:c r="E18" s="61"/>
      <x:c r="F18" s="61"/>
      <x:c r="G18" s="61"/>
      <x:c r="H18" s="61"/>
      <x:c r="I18" s="61"/>
    </x:row>
  </x:sheetData>
  <x:mergeCells>
    <x:mergeCell ref="A1:I1"/>
    <x:mergeCell ref="A2:I2"/>
    <x:mergeCell ref="A14:I14"/>
    <x:mergeCell ref="A15:I18"/>
  </x:mergeCells>
  <x:conditionalFormatting sqref="E6:E30">
    <x:cfRule type="containsText" dxfId="25" priority="1" operator="containsText" text="Awaiting Client Approval"/>
    <x:cfRule type="containsText" dxfId="26" priority="2" operator="containsText" text="Client Approved"/>
    <x:cfRule type="containsText" dxfId="27" priority="3" operator="containsText" text="Revision Needed"/>
  </x:conditionalFormatting>
  <x:dataValidations count="1">
    <x:dataValidation type="list" sqref="E6:E30">
      <x:formula1>"Draft,Internal Review,Revision Needed,Internally Approved,Awaiting Client Approval,Client Approved,Superseded,Planned"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43" hidden="0" customWidth="1"/>
    <x:col min="4" max="4" width="40" hidden="0" customWidth="1"/>
    <x:col min="5" max="5" width="43" hidden="0" customWidth="1"/>
    <x:col min="6" max="6" width="24" hidden="0" customWidth="1"/>
    <x:col min="7" max="7" width="17" hidden="0" customWidth="1"/>
    <x:col min="8" max="8" width="34" hidden="0" customWidth="1"/>
  </x:cols>
  <x:sheetData>
    <x:row r="1" ht="32" customHeight="1">
      <x:c r="A1" s="64" t="str">
        <x:v>Phase Two Staff Training, Welcome Packet, and Handoff Tracker</x:v>
      </x:c>
      <x:c r="B1" s="64"/>
      <x:c r="C1" s="64"/>
      <x:c r="D1" s="64"/>
      <x:c r="E1" s="64"/>
      <x:c r="F1" s="64"/>
      <x:c r="G1" s="64"/>
      <x:c r="H1" s="64"/>
    </x:row>
    <x:row r="2" ht="52" customHeight="1">
      <x:c r="A2" s="68" t="str">
        <x:v>Blue Nova prepares the materials and training. Rebekah designates the staff who will use them, confirms store procedures, attends the walkthrough, and keeps the completed packet. Staff follow documented steps and escalate technical issues; they do not diagnose the website, approve accounts, handle customer passwords, or create guest accounts.</x:v>
      </x:c>
      <x:c r="B2" s="68"/>
      <x:c r="C2" s="68"/>
      <x:c r="D2" s="68"/>
      <x:c r="E2" s="68"/>
      <x:c r="F2" s="68"/>
      <x:c r="G2" s="68"/>
      <x:c r="H2" s="68"/>
    </x:row>
    <x:row r="3" ht="26" customHeight="1">
      <x:c r="A3" s="70" t="str">
        <x:v>Items</x:v>
      </x:c>
      <x:c r="B3" s="74" t="n">
        <x:f>COUNTA(B6:B18)</x:f>
        <x:v>13</x:v>
      </x:c>
      <x:c r="C3" s="70" t="str">
        <x:v>Complete</x:v>
      </x:c>
      <x:c r="D3" s="74" t="n">
        <x:f>COUNTIF(G6:G18,"Complete")</x:f>
        <x:v>0</x:v>
      </x:c>
      <x:c r="E3" s="70" t="str">
        <x:v>Open</x:v>
      </x:c>
      <x:c r="F3" s="74" t="n">
        <x:f>COUNTIF(G6:G18,"Not started")+COUNTIF(G6:G18,"In progress")</x:f>
        <x:v>13</x:v>
      </x:c>
      <x:c r="G3" s="76" t="str">
        <x:v>Required before controlled launch</x:v>
      </x:c>
      <x:c r="H3" s="76"/>
    </x:row>
    <x:row r="5" ht="34" customHeight="1">
      <x:c r="A5" s="80" t="str">
        <x:v>#</x:v>
      </x:c>
      <x:c r="B5" s="80" t="str">
        <x:v>Welcome Packet Item</x:v>
      </x:c>
      <x:c r="C5" s="80" t="str">
        <x:v>What Staff Will Learn or Do</x:v>
      </x:c>
      <x:c r="D5" s="80" t="str">
        <x:v>Blue Nova Provides</x:v>
      </x:c>
      <x:c r="E5" s="80" t="str">
        <x:v>Client Provides or Does</x:v>
      </x:c>
      <x:c r="F5" s="80" t="str">
        <x:v>Timing / Gate</x:v>
      </x:c>
      <x:c r="G5" s="80" t="str">
        <x:v>Status</x:v>
      </x:c>
      <x:c r="H5" s="80" t="str">
        <x:v>Evidence / Link</x:v>
      </x:c>
    </x:row>
    <x:row r="6" ht="78" customHeight="1">
      <x:c r="A6" s="21" t="n">
        <x:v>1</x:v>
      </x:c>
      <x:c r="B6" s="20" t="str">
        <x:v>Designated ecommerce support contacts</x:v>
      </x:c>
      <x:c r="C6" s="20" t="str">
        <x:v>Know which staff members own routine account and order questions.</x:v>
      </x:c>
      <x:c r="D6" s="20" t="str">
        <x:v>Define the support role and escalation route.</x:v>
      </x:c>
      <x:c r="E6" s="20" t="str">
        <x:v>Name one primary and one backup staff contact.</x:v>
      </x:c>
      <x:c r="F6" s="20" t="str">
        <x:v>Before packet production</x:v>
      </x:c>
      <x:c r="G6" s="20" t="str">
        <x:v>Not started</x:v>
      </x:c>
      <x:c r="H6" s="20" t="str">
        <x:v>Names and preferred contact details</x:v>
      </x:c>
    </x:row>
    <x:row r="7" ht="36" hidden="0" customHeight="1">
      <x:c r="A7" s="21" t="n">
        <x:v>2</x:v>
      </x:c>
      <x:c r="B7" s="20" t="str">
        <x:v>Access and privacy boundaries</x:v>
      </x:c>
      <x:c r="C7" s="20" t="str">
        <x:v>Never request or view a customer password. Keep staff/administrator passwords and backend verification codes private; use approved account, order, reset, and escalation procedures only.</x:v>
      </x:c>
      <x:c r="D7" s="20" t="str">
        <x:v>Written access, privacy, backend-security, and escalation rules.</x:v>
      </x:c>
      <x:c r="E7" s="20" t="str">
        <x:v>Confirm which staff members receive WordPress, WooCommerce, Revel, or support access.</x:v>
      </x:c>
      <x:c r="F7" s="20" t="str">
        <x:v>Before access is granted</x:v>
      </x:c>
      <x:c r="G7" s="20" t="str">
        <x:v>Not started</x:v>
      </x:c>
      <x:c r="H7" s="20" t="str">
        <x:v>Approved access list</x:v>
      </x:c>
    </x:row>
    <x:row r="8" ht="36" hidden="0" customHeight="1">
      <x:c r="A8" s="21" t="n">
        <x:v>3</x:v>
      </x:c>
      <x:c r="B8" s="20" t="str">
        <x:v>Guest checkout and optional accounts video</x:v>
      </x:c>
      <x:c r="C8" s="20" t="str">
        <x:v>Explain that guest checkout creates no account, optional accounts are automatic, and customers use the standard email, password, and reset flow without customer 2FA.</x:v>
      </x:c>
      <x:c r="D8" s="20" t="str">
        <x:v>Short screen-recorded walkthrough plus written account setup, sign-in, and recovery summary.</x:v>
      </x:c>
      <x:c r="E8" s="20" t="str">
        <x:v>Review the customer-facing process and confirm it matches store policy.</x:v>
      </x:c>
      <x:c r="F8" s="20" t="str">
        <x:v>Before customer training</x:v>
      </x:c>
      <x:c r="G8" s="20" t="str">
        <x:v>Not started</x:v>
      </x:c>
      <x:c r="H8" s="20" t="str">
        <x:v>Video, written guide, and tested reset path</x:v>
      </x:c>
    </x:row>
    <x:row r="9" ht="36" hidden="0" customHeight="1">
      <x:c r="A9" s="21" t="n">
        <x:v>4</x:v>
      </x:c>
      <x:c r="B9" s="20" t="str">
        <x:v>Password reset assistance</x:v>
      </x:c>
      <x:c r="C9" s="20" t="str">
        <x:v>Direct customers to the standard reset flow, confirm the generic success message, and escalate missing reset emails, repeated failures, or lockouts.</x:v>
      </x:c>
      <x:c r="D9" s="20" t="str">
        <x:v>Video, quick-reference password-reset steps, and a customer-safe response script.</x:v>
      </x:c>
      <x:c r="E9" s="20" t="str">
        <x:v>Confirm the public support phone/email route staff will use.</x:v>
      </x:c>
      <x:c r="F9" s="20" t="str">
        <x:v>Before launch</x:v>
      </x:c>
      <x:c r="G9" s="20" t="str">
        <x:v>Not started</x:v>
      </x:c>
      <x:c r="H9" s="20" t="str">
        <x:v>Video, script, and test result</x:v>
      </x:c>
    </x:row>
    <x:row r="10" ht="36" hidden="0" customHeight="1">
      <x:c r="A10" s="21" t="n">
        <x:v>5</x:v>
      </x:c>
      <x:c r="B10" s="20" t="str">
        <x:v>Sign-in troubleshooting</x:v>
      </x:c>
      <x:c r="C10" s="20" t="str">
        <x:v>Check only customer-safe basics such as the correct email, reset-link timing, and browser steps. Never handle a customer's password.</x:v>
      </x:c>
      <x:c r="D10" s="20" t="str">
        <x:v>One-page sign-in, reset, lockout, and escalation guide.</x:v>
      </x:c>
      <x:c r="E10" s="20" t="str">
        <x:v>Use the guide; escalate repeated failures, lockouts, missing reset emails, or suspected security issues.</x:v>
      </x:c>
      <x:c r="F10" s="20" t="str">
        <x:v>Before launch</x:v>
      </x:c>
      <x:c r="G10" s="20" t="str">
        <x:v>Not started</x:v>
      </x:c>
      <x:c r="H10" s="20" t="str">
        <x:v>Guide link</x:v>
      </x:c>
    </x:row>
    <x:row r="11" ht="78" customHeight="1">
      <x:c r="A11" s="21" t="n">
        <x:v>6</x:v>
      </x:c>
      <x:c r="B11" s="20" t="str">
        <x:v>Order lookup and status questions</x:v>
      </x:c>
      <x:c r="C11" s="20" t="str">
        <x:v>Locate an order, explain the visible status, and share approved next steps.</x:v>
      </x:c>
      <x:c r="D11" s="20" t="str">
        <x:v>Video and written order-support procedure.</x:v>
      </x:c>
      <x:c r="E11" s="20" t="str">
        <x:v>Confirm who may view orders and which statuses staff may explain or change.</x:v>
      </x:c>
      <x:c r="F11" s="20" t="str">
        <x:v>Before launch</x:v>
      </x:c>
      <x:c r="G11" s="20" t="str">
        <x:v>Not started</x:v>
      </x:c>
      <x:c r="H11" s="20" t="str">
        <x:v>Video, procedure, and access test</x:v>
      </x:c>
    </x:row>
    <x:row r="12" ht="78" customHeight="1">
      <x:c r="A12" s="21" t="n">
        <x:v>7</x:v>
      </x:c>
      <x:c r="B12" s="20" t="str">
        <x:v>Changes, cancellations, refunds, and exceptions</x:v>
      </x:c>
      <x:c r="C12" s="20" t="str">
        <x:v>Follow the approved decision path rather than promising an outcome.</x:v>
      </x:c>
      <x:c r="D12" s="20" t="str">
        <x:v>Escalation chart and approved response templates.</x:v>
      </x:c>
      <x:c r="E12" s="20" t="str">
        <x:v>Approve store rules, authorized roles, and financial limits.</x:v>
      </x:c>
      <x:c r="F12" s="20" t="str">
        <x:v>After policies are approved</x:v>
      </x:c>
      <x:c r="G12" s="20" t="str">
        <x:v>Not started</x:v>
      </x:c>
      <x:c r="H12" s="20" t="str">
        <x:v>Policy and escalation links</x:v>
      </x:c>
    </x:row>
    <x:row r="13" ht="78" customHeight="1">
      <x:c r="A13" s="21" t="n">
        <x:v>8</x:v>
      </x:c>
      <x:c r="B13" s="20" t="str">
        <x:v>Revel product maintenance and online eligibility</x:v>
      </x:c>
      <x:c r="C13" s="20" t="str">
        <x:v>Maintain approved names, prices, SKUs, weights, stock, and online-eligibility settings without breaking synchronization.</x:v>
      </x:c>
      <x:c r="D13" s="20" t="str">
        <x:v>Video, field-ownership guide, and do-not-change list based on integration testing.</x:v>
      </x:c>
      <x:c r="E13" s="20" t="str">
        <x:v>Designate the staff member who maintains Revel product data.</x:v>
      </x:c>
      <x:c r="F13" s="20" t="str">
        <x:v>After one-product proof</x:v>
      </x:c>
      <x:c r="G13" s="20" t="str">
        <x:v>Not started</x:v>
      </x:c>
      <x:c r="H13" s="20" t="str">
        <x:v>Video, field guide, and staff name</x:v>
      </x:c>
    </x:row>
    <x:row r="14" ht="78" customHeight="1">
      <x:c r="A14" s="21" t="n">
        <x:v>9</x:v>
      </x:c>
      <x:c r="B14" s="20" t="str">
        <x:v>Fulfillment, packing, and shipping</x:v>
      </x:c>
      <x:c r="C14" s="20" t="str">
        <x:v>Process online orders using approved packing, label, status, and exception steps.</x:v>
      </x:c>
      <x:c r="D14" s="20" t="str">
        <x:v>Recorded workflow and written daily procedure.</x:v>
      </x:c>
      <x:c r="E14" s="20" t="str">
        <x:v>Confirm packing staff, supplies, cutoffs, and exception handling.</x:v>
      </x:c>
      <x:c r="F14" s="20" t="str">
        <x:v>After shipping configuration</x:v>
      </x:c>
      <x:c r="G14" s="20" t="str">
        <x:v>Not started</x:v>
      </x:c>
      <x:c r="H14" s="20" t="str">
        <x:v>Workflow, test order, and procedure</x:v>
      </x:c>
    </x:row>
    <x:row r="15" ht="78" customHeight="1">
      <x:c r="A15" s="21" t="n">
        <x:v>10</x:v>
      </x:c>
      <x:c r="B15" s="20" t="str">
        <x:v>Daily operations checklist</x:v>
      </x:c>
      <x:c r="C15" s="20" t="str">
        <x:v>Review new orders, exceptions, failed payments, low stock, and unresolved support items.</x:v>
      </x:c>
      <x:c r="D15" s="20" t="str">
        <x:v>Printable and digital checklist.</x:v>
      </x:c>
      <x:c r="E15" s="20" t="str">
        <x:v>Confirm who performs each check and the expected schedule.</x:v>
      </x:c>
      <x:c r="F15" s="20" t="str">
        <x:v>Before launch</x:v>
      </x:c>
      <x:c r="G15" s="20" t="str">
        <x:v>Not started</x:v>
      </x:c>
      <x:c r="H15" s="20" t="str">
        <x:v>Completed checklist template</x:v>
      </x:c>
    </x:row>
    <x:row r="16" ht="78" customHeight="1">
      <x:c r="A16" s="21" t="n">
        <x:v>11</x:v>
      </x:c>
      <x:c r="B16" s="20" t="str">
        <x:v>Escalation matrix and support contacts</x:v>
      </x:c>
      <x:c r="C16" s="20" t="str">
        <x:v>Know what staff handles, what Blue Nova handles, and what must go to Revel, Kosmos, shipping, or payment support.</x:v>
      </x:c>
      <x:c r="D16" s="20" t="str">
        <x:v>One-page escalation matrix with contact paths and required evidence.</x:v>
      </x:c>
      <x:c r="E16" s="20" t="str">
        <x:v>Approve internal contacts and keep vendor account details current in an approved secure location.</x:v>
      </x:c>
      <x:c r="F16" s="20" t="str">
        <x:v>Before launch</x:v>
      </x:c>
      <x:c r="G16" s="20" t="str">
        <x:v>Not started</x:v>
      </x:c>
      <x:c r="H16" s="20" t="str">
        <x:v>Escalation matrix link</x:v>
      </x:c>
    </x:row>
    <x:row r="17" ht="78" customHeight="1">
      <x:c r="A17" s="21" t="n">
        <x:v>12</x:v>
      </x:c>
      <x:c r="B17" s="20" t="str">
        <x:v>Live staff walkthrough and questions</x:v>
      </x:c>
      <x:c r="C17" s="20" t="str">
        <x:v>Practice the account, order, fulfillment, refund, and escalation workflows using test cases.</x:v>
      </x:c>
      <x:c r="D17" s="20" t="str">
        <x:v>Focused training session, test scenarios, and Q&amp;A notes.</x:v>
      </x:c>
      <x:c r="E17" s="20" t="str">
        <x:v>Ensure designated staff attend and identify any missing instructions.</x:v>
      </x:c>
      <x:c r="F17" s="20" t="str">
        <x:v>Prelaunch training gate</x:v>
      </x:c>
      <x:c r="G17" s="20" t="str">
        <x:v>Not started</x:v>
      </x:c>
      <x:c r="H17" s="20" t="str">
        <x:v>Attendee list and open-question log</x:v>
      </x:c>
    </x:row>
    <x:row r="18" ht="78" customHeight="1">
      <x:c r="A18" s="21" t="n">
        <x:v>13</x:v>
      </x:c>
      <x:c r="B18" s="20" t="str">
        <x:v>Welcome packet delivery and acknowledgment</x:v>
      </x:c>
      <x:c r="C18" s="20" t="str">
        <x:v>Know where the final videos, written instructions, checklists, and support contacts are stored.</x:v>
      </x:c>
      <x:c r="D18" s="20" t="str">
        <x:v>Deliver the organized welcome packet and final handoff index.</x:v>
      </x:c>
      <x:c r="E18" s="20" t="str">
        <x:v>Confirm receipt, access, designated staff, and acceptance of the handoff materials.</x:v>
      </x:c>
      <x:c r="F18" s="20" t="str">
        <x:v>Required before controlled launch</x:v>
      </x:c>
      <x:c r="G18" s="20" t="str">
        <x:v>Not started</x:v>
      </x:c>
      <x:c r="H18" s="20" t="str">
        <x:v>Packet link and client acknowledgment</x:v>
      </x:c>
    </x:row>
  </x:sheetData>
  <x:mergeCells>
    <x:mergeCell ref="A1:H1"/>
    <x:mergeCell ref="A2:H2"/>
    <x:mergeCell ref="G3:H3"/>
  </x:mergeCells>
  <x:conditionalFormatting sqref="G6:G30">
    <x:cfRule type="containsText" dxfId="28" priority="1" operator="containsText" text="Complete"/>
    <x:cfRule type="containsText" dxfId="29" priority="2" operator="containsText" text="In progress"/>
    <x:cfRule type="containsText" dxfId="30" priority="3" operator="containsText" text="Not started"/>
  </x:conditionalFormatting>
  <x:dataValidations count="1">
    <x:dataValidation type="list" sqref="G6:G30">
      <x:formula1>"Not started,In progress,Complete,Not applicable"</x:formula1>
    </x:dataValidation>
  </x:dataValidations>
  <x:pageMargins left="0.7" right="0.7" top="0.75" bottom="0.75" header="0.3" footer="0.3"/>
  <x:tableParts count="1">
    <x:tablePart xmlns:r="http://schemas.openxmlformats.org/officeDocument/2006/relationships" r:id="Re100dbf20d7f453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8" hidden="0" customWidth="1"/>
    <x:col min="4" max="4" width="34" hidden="0" customWidth="1"/>
    <x:col min="5" max="5" width="42" hidden="0" customWidth="1"/>
    <x:col min="6" max="6" width="42" hidden="0" customWidth="1"/>
    <x:col min="7" max="7" width="23" hidden="0" customWidth="1"/>
    <x:col min="8" max="8" width="45" hidden="0" customWidth="1"/>
  </x:cols>
  <x:sheetData>
    <x:row r="1" ht="34" customHeight="1">
      <x:c r="A1" s="92" t="str">
        <x:v>Phase Two Local Readiness and Pre-Staging Packet</x:v>
      </x:c>
      <x:c r="B1" s="92"/>
      <x:c r="C1" s="92"/>
      <x:c r="D1" s="92"/>
      <x:c r="E1" s="92"/>
      <x:c r="F1" s="92"/>
      <x:c r="G1" s="92"/>
      <x:c r="H1" s="92"/>
    </x:row>
    <x:row r="2" ht="44" customHeight="1">
      <x:c r="A2" s="96" t="str">
        <x:v>Local work only. No Cloudways, staging, live website, WordPress deployment, Revel/Kosmos connection, purchase, subscription, or paid-service action is authorized by this sheet.</x:v>
      </x:c>
      <x:c r="B2" s="96"/>
      <x:c r="C2" s="96"/>
      <x:c r="D2" s="96"/>
      <x:c r="E2" s="96"/>
      <x:c r="F2" s="96"/>
      <x:c r="G2" s="96"/>
      <x:c r="H2" s="96"/>
    </x:row>
    <x:row r="3" ht="28" customHeight="1">
      <x:c r="A3" s="98" t="str">
        <x:v>Tracked</x:v>
      </x:c>
      <x:c r="B3" s="98" t="n">
        <x:f>COUNTA(A6:A16)</x:f>
        <x:v>11</x:v>
      </x:c>
      <x:c r="C3" s="98" t="str">
        <x:v>Local complete</x:v>
      </x:c>
      <x:c r="D3" s="98" t="n">
        <x:f>COUNTIF(C6:C16,"Local complete")</x:f>
        <x:v>5</x:v>
      </x:c>
      <x:c r="E3" s="98" t="str">
        <x:v>Pending design</x:v>
      </x:c>
      <x:c r="F3" s="98" t="n">
        <x:v>1</x:v>
      </x:c>
      <x:c r="G3" s="98" t="str">
        <x:v>Gated later</x:v>
      </x:c>
      <x:c r="H3" s="98" t="n">
        <x:v>5</x:v>
      </x:c>
    </x:row>
    <x:row r="5" ht="34" customHeight="1">
      <x:c r="A5" s="103" t="str">
        <x:v>Order</x:v>
      </x:c>
      <x:c r="B5" s="103" t="str">
        <x:v>Work Package</x:v>
      </x:c>
      <x:c r="C5" s="103" t="str">
        <x:v>Status</x:v>
      </x:c>
      <x:c r="D5" s="103" t="str">
        <x:v>Current Boundary</x:v>
      </x:c>
      <x:c r="E5" s="103" t="str">
        <x:v>Ready Evidence</x:v>
      </x:c>
      <x:c r="F5" s="103" t="str">
        <x:v>Next Gate</x:v>
      </x:c>
      <x:c r="G5" s="103" t="str">
        <x:v>Owner</x:v>
      </x:c>
      <x:c r="H5" s="103" t="str">
        <x:v>Local Document / Record</x:v>
      </x:c>
    </x:row>
    <x:row r="6" ht="66" customHeight="1">
      <x:c r="A6" s="115" t="n">
        <x:v>1</x:v>
      </x:c>
      <x:c r="B6" s="114" t="str">
        <x:v>Exact mockup approval set</x:v>
      </x:c>
      <x:c r="C6" s="136" t="str">
        <x:v>Pending exact v1.9 client approval</x:v>
      </x:c>
      <x:c r="D6" s="114" t="str">
        <x:v>All seven exact systems are internally approved; six are client approved and Shop/Catalog v1.9 awaits Rebekah's confirmation.</x:v>
      </x:c>
      <x:c r="E6" s="114" t="str">
        <x:v>Review hub and version register isolate exact v1.9 as the only remaining design-approval gate.</x:v>
      </x:c>
      <x:c r="F6" s="114" t="str">
        <x:v>Rebekah confirms exact Shop/Catalog v1.9.</x:v>
      </x:c>
      <x:c r="G6" s="114" t="str">
        <x:v>Rebekah</x:v>
      </x:c>
      <x:c r="H6" s="114" t="str">
        <x:v>phase-two-ecommerce-mockup-sheet.html; shop-catalog-template-v1.9.html</x:v>
      </x:c>
    </x:row>
    <x:row r="7" ht="66" customHeight="1">
      <x:c r="A7" s="116" t="n">
        <x:v>2</x:v>
      </x:c>
      <x:c r="B7" s="112" t="str">
        <x:v>Pre-staging execution and rollback runbook</x:v>
      </x:c>
      <x:c r="C7" s="112" t="str">
        <x:v>Local complete</x:v>
      </x:c>
      <x:c r="D7" s="112" t="str">
        <x:v>Planning only; no server or staging action.</x:v>
      </x:c>
      <x:c r="E7" s="112" t="str">
        <x:v>Gates, safeguards, evidence requirements, deployment rule, and rollback levels are written.</x:v>
      </x:c>
      <x:c r="F7" s="112" t="str">
        <x:v>Use only after client approval, access verification, a safe window, and Todd authorization.</x:v>
      </x:c>
      <x:c r="G7" s="112" t="str">
        <x:v>Blue Nova</x:v>
      </x:c>
      <x:c r="H7" s="112" t="str">
        <x:v>PHASE-TWO-PRE-STAGING-EXECUTION-RUNBOOK-v1.1.md</x:v>
      </x:c>
    </x:row>
    <x:row r="8" ht="66" customHeight="1">
      <x:c r="A8" s="118" t="n">
        <x:v>3</x:v>
      </x:c>
      <x:c r="B8" s="117" t="str">
        <x:v>One-product synchronization acceptance test</x:v>
      </x:c>
      <x:c r="C8" s="117" t="str">
        <x:v>Local complete</x:v>
      </x:c>
      <x:c r="D8" s="117" t="str">
        <x:v>Test definition only; no connection.</x:v>
      </x:c>
      <x:c r="E8" s="117" t="str">
        <x:v>Preflight, field observation, overwrite, order, inventory, and pass/fail checks are written.</x:v>
      </x:c>
      <x:c r="F8" s="117" t="str">
        <x:v>Populate with observed values during the first authorized staging pull.</x:v>
      </x:c>
      <x:c r="G8" s="117" t="str">
        <x:v>Blue Nova / Mark</x:v>
      </x:c>
      <x:c r="H8" s="117" t="str">
        <x:v>PHASE-TWO-ONE-PRODUCT-ACCEPTANCE-TEST-v1.1.md</x:v>
      </x:c>
    </x:row>
    <x:row r="9" ht="66" customHeight="1">
      <x:c r="A9" s="116" t="n">
        <x:v>4</x:v>
      </x:c>
      <x:c r="B9" s="112" t="str">
        <x:v>Legacy catalog clean-start plan</x:v>
      </x:c>
      <x:c r="C9" s="112" t="str">
        <x:v>Local complete</x:v>
      </x:c>
      <x:c r="D9" s="112" t="str">
        <x:v>No production catalog change and no deletion.</x:v>
      </x:c>
      <x:c r="E9" s="112" t="str">
        <x:v>Quarantine, collision, reconciliation, evidence, and rollback rules are written.</x:v>
      </x:c>
      <x:c r="F9" s="112" t="str">
        <x:v>Execute only on protected staging before the first product pull.</x:v>
      </x:c>
      <x:c r="G9" s="112" t="str">
        <x:v>Blue Nova</x:v>
      </x:c>
      <x:c r="H9" s="112" t="str">
        <x:v>PHASE-TWO-LEGACY-CATALOG-CLEAN-START-PLAN-v1.1.md</x:v>
      </x:c>
    </x:row>
    <x:row r="10" ht="66" customHeight="1">
      <x:c r="A10" s="118" t="n">
        <x:v>5</x:v>
      </x:c>
      <x:c r="B10" s="117" t="str">
        <x:v>Ecommerce policy decision draft</x:v>
      </x:c>
      <x:c r="C10" s="117" t="str">
        <x:v>Local complete</x:v>
      </x:c>
      <x:c r="D10" s="117" t="str">
        <x:v>Internal draft; not legal advice or approved website copy.</x:v>
      </x:c>
      <x:c r="E10" s="117" t="str">
        <x:v>Confirmed operating facts and unresolved shipping/return/cancellation/damage decisions are separated.</x:v>
      </x:c>
      <x:c r="F10" s="117" t="str">
        <x:v>Rebekah answers the focused decisions; final wording is approved before launch.</x:v>
      </x:c>
      <x:c r="G10" s="117" t="str">
        <x:v>Rebekah / qualified reviewer</x:v>
      </x:c>
      <x:c r="H10" s="117" t="str">
        <x:v>PHASE-TWO-ECOMMERCE-POLICY-DECISION-DRAFT-v1.1.md</x:v>
      </x:c>
    </x:row>
    <x:row r="11" ht="66" customHeight="1">
      <x:c r="A11" s="116" t="n">
        <x:v>6</x:v>
      </x:c>
      <x:c r="B11" s="112" t="str">
        <x:v>Dormant WooCommerce theme scaffold</x:v>
      </x:c>
      <x:c r="C11" s="112" t="str">
        <x:v>Local complete</x:v>
      </x:c>
      <x:c r="D11" s="112" t="str">
        <x:v>Files exist locally but are not loaded, deployed, or activated.</x:v>
      </x:c>
      <x:c r="E11" s="112" t="str">
        <x:v>Guarded PHP, scoped CSS, accessible filter-drawer JS, utility/footer renderers, and approved fallback component exist.</x:v>
      </x:c>
      <x:c r="F11" s="112" t="str">
        <x:v>Activate on protected staging only after exact client approval and version inspection.</x:v>
      </x:c>
      <x:c r="G11" s="112" t="str">
        <x:v>Blue Nova</x:v>
      </x:c>
      <x:c r="H11" s="112" t="str">
        <x:v>wordpress/theme/rebekahs-2026/PHASE-TWO-ECOMMERCE-SCAFFOLD-v1.1.md</x:v>
      </x:c>
    </x:row>
    <x:row r="12" ht="66" customHeight="1">
      <x:c r="A12" s="118" t="n">
        <x:v>7</x:v>
      </x:c>
      <x:c r="B12" s="117" t="str">
        <x:v>Access and working-window verification</x:v>
      </x:c>
      <x:c r="C12" s="117" t="str">
        <x:v>Access verified; client approval and working window pending</x:v>
      </x:c>
      <x:c r="D12" s="117" t="str">
        <x:v>Blue Nova Revel access and the client-owned Kosmos dashboard login are verified. No connection or data pull has started.</x:v>
      </x:c>
      <x:c r="E12" s="117" t="str">
        <x:v>Access records, support model, runbook, and one-product acceptance test are documented.</x:v>
      </x:c>
      <x:c r="F12" s="117" t="str">
        <x:v>Rebekah approves exact Shop/Catalog v1.9; Todd confirms the safe window and authorizes hosting scale and staging creation.</x:v>
      </x:c>
      <x:c r="G12" s="117" t="str">
        <x:v>Todd / Rebekah / Blue Nova</x:v>
      </x:c>
      <x:c r="H12" s="117" t="str">
        <x:v>PHASE-TWO-MASTER-CHECKLIST.md sections 1, 2, and 5</x:v>
      </x:c>
    </x:row>
    <x:row r="13" ht="66" customHeight="1">
      <x:c r="A13" s="116" t="n">
        <x:v>8</x:v>
      </x:c>
      <x:c r="B13" s="112" t="str">
        <x:v>Protected staging and restore point</x:v>
      </x:c>
      <x:c r="C13" s="112" t="str">
        <x:v>Future gated</x:v>
      </x:c>
      <x:c r="D13" s="112" t="str">
        <x:v>No independent staging exists and no server action is authorized.</x:v>
      </x:c>
      <x:c r="E13" s="112" t="str">
        <x:v>Runbook defines the required safety evidence.</x:v>
      </x:c>
      <x:c r="F13" s="112" t="str">
        <x:v>Todd authorizes server scale, restore point, and staging creation after prerequisites are ready.</x:v>
      </x:c>
      <x:c r="G13" s="112" t="str">
        <x:v>Blue Nova</x:v>
      </x:c>
      <x:c r="H13" s="112" t="str">
        <x:v>Runbook gates 2–4</x:v>
      </x:c>
    </x:row>
    <x:row r="14" ht="66" customHeight="1">
      <x:c r="A14" s="118" t="n">
        <x:v>9</x:v>
      </x:c>
      <x:c r="B14" s="117" t="str">
        <x:v>One-product Revel/Kosmos/WooCommerce proof</x:v>
      </x:c>
      <x:c r="C14" s="117" t="str">
        <x:v>Future gated</x:v>
      </x:c>
      <x:c r="D14" s="117" t="str">
        <x:v>No connection or field mapping has been performed.</x:v>
      </x:c>
      <x:c r="E14" s="117" t="str">
        <x:v>Acceptance test is ready for actual values.</x:v>
      </x:c>
      <x:c r="F14" s="117" t="str">
        <x:v>Protected staging and connection prerequisites pass.</x:v>
      </x:c>
      <x:c r="G14" s="117" t="str">
        <x:v>Blue Nova / Kosmos / Revel</x:v>
      </x:c>
      <x:c r="H14" s="117" t="str">
        <x:v>Acceptance test v1.1</x:v>
      </x:c>
    </x:row>
    <x:row r="15" ht="66" customHeight="1">
      <x:c r="A15" s="116" t="n">
        <x:v>10</x:v>
      </x:c>
      <x:c r="B15" s="112" t="str">
        <x:v>Remaining 24 products and real storefront</x:v>
      </x:c>
      <x:c r="C15" s="112" t="str">
        <x:v>Future gated</x:v>
      </x:c>
      <x:c r="D15" s="112" t="str">
        <x:v>No bulk pull, taxonomy finalization, or content polishing.</x:v>
      </x:c>
      <x:c r="E15" s="112" t="str">
        <x:v>Approved designs and clean-start rules are ready.</x:v>
      </x:c>
      <x:c r="F15" s="112" t="str">
        <x:v>One-product test passes and exact transfer/overwrite behavior is documented.</x:v>
      </x:c>
      <x:c r="G15" s="112" t="str">
        <x:v>Blue Nova / Mark / Rebekah</x:v>
      </x:c>
      <x:c r="H15" s="112" t="str">
        <x:v>Master checklist sections 3, 4, 6, and 8</x:v>
      </x:c>
    </x:row>
    <x:row r="16" ht="66" customHeight="1">
      <x:c r="A16" s="120" t="n">
        <x:v>11</x:v>
      </x:c>
      <x:c r="B16" s="119" t="str">
        <x:v>QA, client signoff, training, launch, stabilization</x:v>
      </x:c>
      <x:c r="C16" s="119" t="str">
        <x:v>Future gated</x:v>
      </x:c>
      <x:c r="D16" s="119" t="str">
        <x:v>No public store or transaction activity.</x:v>
      </x:c>
      <x:c r="E16" s="119" t="str">
        <x:v>Twenty-eight launch tests and thirteen handoff items remain tracked in the workbook.</x:v>
      </x:c>
      <x:c r="F16" s="119" t="str">
        <x:v>Every applicable QA test passes and Rebekah authorizes controlled launch.</x:v>
      </x:c>
      <x:c r="G16" s="119" t="str">
        <x:v>Blue Nova / Rebekah</x:v>
      </x:c>
      <x:c r="H16" s="119" t="str">
        <x:v>QA &amp; Launch Gates; Training &amp; Handoff</x:v>
      </x:c>
    </x:row>
  </x:sheetData>
  <x:mergeCells>
    <x:mergeCell ref="A1:H1"/>
    <x:mergeCell ref="A2:H2"/>
  </x:mergeCells>
  <x:conditionalFormatting sqref="C6:C16">
    <x:cfRule type="containsText" dxfId="31" priority="1" operator="containsText" text="Local complete"/>
    <x:cfRule type="containsText" dxfId="32" priority="2" operator="containsText" text="Pending client"/>
    <x:cfRule type="containsText" dxfId="33" priority="3" operator="containsText" text="External gate"/>
    <x:cfRule type="containsText" dxfId="34" priority="4" operator="containsText" text="Future gated"/>
  </x:conditionalFormatting>
  <x:dataValidations count="1">
    <x:dataValidation type="list" sqref="C6:C16">
      <x:formula1>"Local complete,Pending client,External gate,Future gated"</x:formula1>
    </x:dataValidation>
  </x:dataValidations>
  <x:pageMargins left="0.7" right="0.7" top="0.75" bottom="0.75" header="0.3" footer="0.3"/>
</x:worksheet>
</file>